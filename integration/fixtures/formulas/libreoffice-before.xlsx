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 2026" sheetId="1" state="visible" r:id="rId3"/>
    <sheet name="Formul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<sst xmlns="http://schemas.openxmlformats.org/spreadsheetml/2006/main" count="387" uniqueCount="181">
  <si>
    <t xml:space="preserve">Row</t>
  </si>
  <si>
    <t xml:space="preserve">First</t>
  </si>
  <si>
    <t xml:space="preserve">Second</t>
  </si>
  <si>
    <t xml:space="preserve">Third</t>
  </si>
  <si>
    <t xml:space="preserve">Note</t>
  </si>
  <si>
    <t xml:space="preserve">Line 2</t>
  </si>
  <si>
    <t xml:space="preserve">Line 3</t>
  </si>
  <si>
    <t xml:space="preserve">Line 4</t>
  </si>
  <si>
    <t xml:space="preserve">checked</t>
  </si>
  <si>
    <t xml:space="preserve">Line 5</t>
  </si>
  <si>
    <t xml:space="preserve">Line 6</t>
  </si>
  <si>
    <t xml:space="preserve">Line 7</t>
  </si>
  <si>
    <t xml:space="preserve">Line 8</t>
  </si>
  <si>
    <t xml:space="preserve">Line 9</t>
  </si>
  <si>
    <t xml:space="preserve">n/a</t>
  </si>
  <si>
    <t xml:space="preserve">Line 10</t>
  </si>
  <si>
    <t xml:space="preserve">Line 11</t>
  </si>
  <si>
    <t xml:space="preserve">Line 12</t>
  </si>
  <si>
    <t xml:space="preserve">Line 13</t>
  </si>
  <si>
    <t xml:space="preserve">Line 14</t>
  </si>
  <si>
    <t xml:space="preserve">Line 15</t>
  </si>
  <si>
    <t xml:space="preserve">Line 16</t>
  </si>
  <si>
    <t xml:space="preserve">Line 17</t>
  </si>
  <si>
    <t xml:space="preserve">Line 18</t>
  </si>
  <si>
    <t xml:space="preserve">Line 19</t>
  </si>
  <si>
    <t xml:space="preserve">Line 20</t>
  </si>
  <si>
    <t xml:space="preserve">Line 21</t>
  </si>
  <si>
    <t xml:space="preserve">Line 22</t>
  </si>
  <si>
    <t xml:space="preserve">Line 23</t>
  </si>
  <si>
    <t xml:space="preserve">Line 24</t>
  </si>
  <si>
    <t xml:space="preserve">Line 25</t>
  </si>
  <si>
    <t xml:space="preserve">Line 26</t>
  </si>
  <si>
    <t xml:space="preserve">Line 27</t>
  </si>
  <si>
    <t xml:space="preserve">Line 28</t>
  </si>
  <si>
    <t xml:space="preserve">Line 29</t>
  </si>
  <si>
    <t xml:space="preserve">Line 30</t>
  </si>
  <si>
    <t xml:space="preserve">Line 31</t>
  </si>
  <si>
    <t xml:space="preserve">Line 32</t>
  </si>
  <si>
    <t xml:space="preserve">Line 33</t>
  </si>
  <si>
    <t xml:space="preserve">Line 34</t>
  </si>
  <si>
    <t xml:space="preserve">Line 35</t>
  </si>
  <si>
    <t xml:space="preserve">Line 36</t>
  </si>
  <si>
    <t xml:space="preserve">Line 37</t>
  </si>
  <si>
    <t xml:space="preserve">Line 38</t>
  </si>
  <si>
    <t xml:space="preserve">Line 39</t>
  </si>
  <si>
    <t xml:space="preserve">Line 40</t>
  </si>
  <si>
    <t xml:space="preserve">Line 41</t>
  </si>
  <si>
    <t xml:space="preserve">Line 42</t>
  </si>
  <si>
    <t xml:space="preserve">Line 43</t>
  </si>
  <si>
    <t xml:space="preserve">Line 44</t>
  </si>
  <si>
    <t xml:space="preserve">Line 45</t>
  </si>
  <si>
    <t xml:space="preserve">Line 46</t>
  </si>
  <si>
    <t xml:space="preserve">Line 47</t>
  </si>
  <si>
    <t xml:space="preserve">Line 48</t>
  </si>
  <si>
    <t xml:space="preserve">Line 49</t>
  </si>
  <si>
    <t xml:space="preserve">Line 50</t>
  </si>
  <si>
    <t xml:space="preserve">Line 51</t>
  </si>
  <si>
    <t xml:space="preserve">Line 52</t>
  </si>
  <si>
    <t xml:space="preserve">Line 53</t>
  </si>
  <si>
    <t xml:space="preserve">Line 54</t>
  </si>
  <si>
    <t xml:space="preserve">Line 55</t>
  </si>
  <si>
    <t xml:space="preserve">Line 56</t>
  </si>
  <si>
    <t xml:space="preserve">Line 57</t>
  </si>
  <si>
    <t xml:space="preserve">Line 58</t>
  </si>
  <si>
    <t xml:space="preserve">Line 59</t>
  </si>
  <si>
    <t xml:space="preserve">Line 60</t>
  </si>
  <si>
    <t xml:space="preserve">Line 61</t>
  </si>
  <si>
    <t xml:space="preserve">Line 62</t>
  </si>
  <si>
    <t xml:space="preserve">Line 63</t>
  </si>
  <si>
    <t xml:space="preserve">Line 64</t>
  </si>
  <si>
    <t xml:space="preserve">Line 65</t>
  </si>
  <si>
    <t xml:space="preserve">Line 66</t>
  </si>
  <si>
    <t xml:space="preserve">Line 67</t>
  </si>
  <si>
    <t xml:space="preserve">Line 68</t>
  </si>
  <si>
    <t xml:space="preserve">Line 69</t>
  </si>
  <si>
    <t xml:space="preserve">Line 70</t>
  </si>
  <si>
    <t xml:space="preserve">Line 71</t>
  </si>
  <si>
    <t xml:space="preserve">Line 72</t>
  </si>
  <si>
    <t xml:space="preserve">Line 73</t>
  </si>
  <si>
    <t xml:space="preserve">Line 74</t>
  </si>
  <si>
    <t xml:space="preserve">Line 75</t>
  </si>
  <si>
    <t xml:space="preserve">Line 76</t>
  </si>
  <si>
    <t xml:space="preserve">Line 77</t>
  </si>
  <si>
    <t xml:space="preserve">Line 78</t>
  </si>
  <si>
    <t xml:space="preserve">Line 79</t>
  </si>
  <si>
    <t xml:space="preserve">Line 80</t>
  </si>
  <si>
    <t xml:space="preserve">Line 81</t>
  </si>
  <si>
    <t xml:space="preserve">Line 82</t>
  </si>
  <si>
    <t xml:space="preserve">Line 83</t>
  </si>
  <si>
    <t xml:space="preserve">Line 84</t>
  </si>
  <si>
    <t xml:space="preserve">Line 85</t>
  </si>
  <si>
    <t xml:space="preserve">Line 86</t>
  </si>
  <si>
    <t xml:space="preserve">Line 87</t>
  </si>
  <si>
    <t xml:space="preserve">Line 88</t>
  </si>
  <si>
    <t xml:space="preserve">Line 89</t>
  </si>
  <si>
    <t xml:space="preserve">Line 90</t>
  </si>
  <si>
    <t xml:space="preserve">Line 91</t>
  </si>
  <si>
    <t xml:space="preserve">Line 92</t>
  </si>
  <si>
    <t xml:space="preserve">Line 93</t>
  </si>
  <si>
    <t xml:space="preserve">Line 94</t>
  </si>
  <si>
    <t xml:space="preserve">Line 95</t>
  </si>
  <si>
    <t xml:space="preserve">Line 96</t>
  </si>
  <si>
    <t xml:space="preserve">Line 97</t>
  </si>
  <si>
    <t xml:space="preserve">Line 98</t>
  </si>
  <si>
    <t xml:space="preserve">Line 99</t>
  </si>
  <si>
    <t xml:space="preserve">Line 100</t>
  </si>
  <si>
    <t xml:space="preserve">Line 101</t>
  </si>
  <si>
    <t xml:space="preserve">Line 102</t>
  </si>
  <si>
    <t xml:space="preserve">Line 103</t>
  </si>
  <si>
    <t xml:space="preserve">Line 104</t>
  </si>
  <si>
    <t xml:space="preserve">Line 105</t>
  </si>
  <si>
    <t xml:space="preserve">Line 106</t>
  </si>
  <si>
    <t xml:space="preserve">Line 107</t>
  </si>
  <si>
    <t xml:space="preserve">Line 108</t>
  </si>
  <si>
    <t xml:space="preserve">Line 109</t>
  </si>
  <si>
    <t xml:space="preserve">Line 110</t>
  </si>
  <si>
    <t xml:space="preserve">Line 111</t>
  </si>
  <si>
    <t xml:space="preserve">Line 112</t>
  </si>
  <si>
    <t xml:space="preserve">Line 113</t>
  </si>
  <si>
    <t xml:space="preserve">Line 114</t>
  </si>
  <si>
    <t xml:space="preserve">Line 115</t>
  </si>
  <si>
    <t xml:space="preserve">Line 116</t>
  </si>
  <si>
    <t xml:space="preserve">Line 117</t>
  </si>
  <si>
    <t xml:space="preserve">Line 118</t>
  </si>
  <si>
    <t xml:space="preserve">Line 119</t>
  </si>
  <si>
    <t xml:space="preserve">Line 120</t>
  </si>
  <si>
    <t xml:space="preserve">Line 121</t>
  </si>
  <si>
    <t xml:space="preserve">Line 122</t>
  </si>
  <si>
    <t xml:space="preserve">Line 123</t>
  </si>
  <si>
    <t xml:space="preserve">Line 124</t>
  </si>
  <si>
    <t xml:space="preserve">Line 125</t>
  </si>
  <si>
    <t xml:space="preserve">Line 126</t>
  </si>
  <si>
    <t xml:space="preserve">Line 127</t>
  </si>
  <si>
    <t xml:space="preserve">Line 128</t>
  </si>
  <si>
    <t xml:space="preserve">Line 129</t>
  </si>
  <si>
    <t xml:space="preserve">Line 130</t>
  </si>
  <si>
    <t xml:space="preserve">Line 131</t>
  </si>
  <si>
    <t xml:space="preserve">Line 132</t>
  </si>
  <si>
    <t xml:space="preserve">Line 133</t>
  </si>
  <si>
    <t xml:space="preserve">Line 134</t>
  </si>
  <si>
    <t xml:space="preserve">Line 135</t>
  </si>
  <si>
    <t xml:space="preserve">Line 136</t>
  </si>
  <si>
    <t xml:space="preserve">Line 137</t>
  </si>
  <si>
    <t xml:space="preserve">Line 138</t>
  </si>
  <si>
    <t xml:space="preserve">Line 139</t>
  </si>
  <si>
    <t xml:space="preserve">Line 140</t>
  </si>
  <si>
    <t xml:space="preserve">Line 141</t>
  </si>
  <si>
    <t xml:space="preserve">Line 142</t>
  </si>
  <si>
    <t xml:space="preserve">Line 143</t>
  </si>
  <si>
    <t xml:space="preserve">Line 144</t>
  </si>
  <si>
    <t xml:space="preserve">Line 145</t>
  </si>
  <si>
    <t xml:space="preserve">Line 146</t>
  </si>
  <si>
    <t xml:space="preserve">Line 147</t>
  </si>
  <si>
    <t xml:space="preserve">Line 148</t>
  </si>
  <si>
    <t xml:space="preserve">Line 149</t>
  </si>
  <si>
    <t xml:space="preserve">Line 150</t>
  </si>
  <si>
    <t xml:space="preserve">Line 151</t>
  </si>
  <si>
    <t xml:space="preserve">Formula 1</t>
  </si>
  <si>
    <t xml:space="preserve">Formula 2</t>
  </si>
  <si>
    <t xml:space="preserve">Formula 3</t>
  </si>
  <si>
    <t xml:space="preserve">Formula 4</t>
  </si>
  <si>
    <t xml:space="preserve">Formula 5</t>
  </si>
  <si>
    <t xml:space="preserve">Formula 6</t>
  </si>
  <si>
    <t xml:space="preserve">Formula 7</t>
  </si>
  <si>
    <t xml:space="preserve">Formula 8</t>
  </si>
  <si>
    <t xml:space="preserve">Formula 9</t>
  </si>
  <si>
    <t xml:space="preserve">Formula 10</t>
  </si>
  <si>
    <t xml:space="preserve">Formula 11</t>
  </si>
  <si>
    <t xml:space="preserve">Formula 12</t>
  </si>
  <si>
    <t xml:space="preserve">Formula 13</t>
  </si>
  <si>
    <t xml:space="preserve">Formula 14</t>
  </si>
  <si>
    <t xml:space="preserve">Formula 15</t>
  </si>
  <si>
    <t xml:space="preserve">Formula 16</t>
  </si>
  <si>
    <t xml:space="preserve">Formula 17</t>
  </si>
  <si>
    <t xml:space="preserve">Formula 18</t>
  </si>
  <si>
    <t xml:space="preserve">Formula 19</t>
  </si>
  <si>
    <t xml:space="preserve">Formula 20</t>
  </si>
  <si>
    <t xml:space="preserve">Formula 21</t>
  </si>
  <si>
    <t xml:space="preserve">Formula 22</t>
  </si>
  <si>
    <t xml:space="preserve">Formula 23</t>
  </si>
  <si>
    <t xml:space="preserve">Formula 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</si>
</sst>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2.675</v>
      </c>
      <c r="D2" s="0" t="n">
        <v>-1</v>
      </c>
    </row>
    <row r="3" customFormat="false" ht="12.8" hidden="false" customHeight="false" outlineLevel="0" collapsed="false">
      <c r="A3" s="0" t="s">
        <v>6</v>
      </c>
      <c r="B3" s="0" t="n">
        <v>0</v>
      </c>
      <c r="C3" s="0" t="n">
        <v>1234.5678</v>
      </c>
      <c r="D3" s="0" t="n">
        <v>1</v>
      </c>
    </row>
    <row r="4" customFormat="false" ht="12.8" hidden="false" customHeight="false" outlineLevel="0" collapsed="false">
      <c r="A4" s="0" t="s">
        <v>7</v>
      </c>
      <c r="B4" s="0" t="n">
        <v>1.005</v>
      </c>
      <c r="C4" s="0" t="n">
        <v>10</v>
      </c>
      <c r="E4" s="0" t="s">
        <v>8</v>
      </c>
    </row>
    <row r="5" customFormat="false" ht="12.8" hidden="false" customHeight="false" outlineLevel="0" collapsed="false">
      <c r="A5" s="0" t="s">
        <v>9</v>
      </c>
      <c r="B5" s="0" t="n">
        <v>-294</v>
      </c>
      <c r="C5" s="0" t="n">
        <v>100</v>
      </c>
      <c r="E5" s="0" t="n">
        <v>-19.99</v>
      </c>
    </row>
    <row r="6" customFormat="false" ht="12.8" hidden="false" customHeight="false" outlineLevel="0" collapsed="false">
      <c r="A6" s="0" t="s">
        <v>10</v>
      </c>
      <c r="C6" s="0" t="n">
        <v>0.25</v>
      </c>
      <c r="E6" s="0" t="n">
        <v>2.675</v>
      </c>
    </row>
    <row r="7" customFormat="false" ht="12.8" hidden="false" customHeight="false" outlineLevel="0" collapsed="false">
      <c r="A7" s="0" t="s">
        <v>11</v>
      </c>
      <c r="B7" s="0" t="n">
        <v>3</v>
      </c>
      <c r="C7" s="0" t="n">
        <v>0.1</v>
      </c>
      <c r="D7" s="0" t="n">
        <v>-1</v>
      </c>
    </row>
    <row r="8" customFormat="false" ht="12.8" hidden="false" customHeight="false" outlineLevel="0" collapsed="false">
      <c r="A8" s="0" t="s">
        <v>12</v>
      </c>
      <c r="C8" s="0" t="n">
        <v>-19.99</v>
      </c>
      <c r="D8" s="0" t="n">
        <v>1</v>
      </c>
      <c r="E8" s="0" t="s">
        <v>8</v>
      </c>
    </row>
    <row r="9" customFormat="false" ht="12.8" hidden="false" customHeight="false" outlineLevel="0" collapsed="false">
      <c r="A9" s="0" t="s">
        <v>13</v>
      </c>
      <c r="B9" s="0" t="n">
        <v>0.5</v>
      </c>
      <c r="C9" s="0" t="n">
        <v>10</v>
      </c>
      <c r="D9" s="0" t="n">
        <v>-4</v>
      </c>
      <c r="E9" s="0" t="s">
        <v>14</v>
      </c>
    </row>
    <row r="10" customFormat="false" ht="12.8" hidden="false" customHeight="false" outlineLevel="0" collapsed="false">
      <c r="A10" s="0" t="s">
        <v>15</v>
      </c>
      <c r="B10" s="0" t="n">
        <v>-4</v>
      </c>
      <c r="C10" s="0" t="n">
        <v>-1</v>
      </c>
      <c r="D10" s="0" t="n">
        <v>1</v>
      </c>
    </row>
    <row r="11" customFormat="false" ht="12.8" hidden="false" customHeight="false" outlineLevel="0" collapsed="false">
      <c r="A11" s="0" t="s">
        <v>16</v>
      </c>
      <c r="B11" s="0" t="n">
        <v>10</v>
      </c>
      <c r="C11" s="0" t="n">
        <v>0.2</v>
      </c>
      <c r="D11" s="0" t="n">
        <v>7</v>
      </c>
    </row>
    <row r="12" customFormat="false" ht="12.8" hidden="false" customHeight="false" outlineLevel="0" collapsed="false">
      <c r="A12" s="0" t="s">
        <v>17</v>
      </c>
      <c r="B12" s="0" t="n">
        <v>100</v>
      </c>
      <c r="C12" s="0" t="n">
        <v>25</v>
      </c>
      <c r="D12" s="0" t="n">
        <v>0.1</v>
      </c>
    </row>
    <row r="13" customFormat="false" ht="12.8" hidden="false" customHeight="false" outlineLevel="0" collapsed="false">
      <c r="A13" s="0" t="s">
        <v>18</v>
      </c>
      <c r="B13" s="0" t="n">
        <v>7</v>
      </c>
      <c r="C13" s="0" t="n">
        <v>381</v>
      </c>
      <c r="D13" s="0" t="n">
        <v>0.1</v>
      </c>
    </row>
    <row r="14" customFormat="false" ht="12.8" hidden="false" customHeight="false" outlineLevel="0" collapsed="false">
      <c r="A14" s="0" t="s">
        <v>19</v>
      </c>
      <c r="B14" s="0" t="n">
        <v>0.25</v>
      </c>
      <c r="C14" s="0" t="n">
        <v>10</v>
      </c>
      <c r="D14" s="0" t="n">
        <v>924.48</v>
      </c>
      <c r="E14" s="0" t="s">
        <v>8</v>
      </c>
    </row>
    <row r="15" customFormat="false" ht="12.8" hidden="false" customHeight="false" outlineLevel="0" collapsed="false">
      <c r="A15" s="0" t="s">
        <v>20</v>
      </c>
      <c r="B15" s="0" t="n">
        <v>0.25</v>
      </c>
    </row>
    <row r="16" customFormat="false" ht="12.8" hidden="false" customHeight="false" outlineLevel="0" collapsed="false">
      <c r="A16" s="0" t="s">
        <v>21</v>
      </c>
      <c r="B16" s="0" t="n">
        <v>-4</v>
      </c>
      <c r="C16" s="0" t="n">
        <v>1.005</v>
      </c>
      <c r="D16" s="0" t="n">
        <v>1</v>
      </c>
      <c r="E16" s="0" t="n">
        <v>0.25</v>
      </c>
    </row>
    <row r="17" customFormat="false" ht="12.8" hidden="false" customHeight="false" outlineLevel="0" collapsed="false">
      <c r="A17" s="0" t="s">
        <v>22</v>
      </c>
      <c r="B17" s="0" t="n">
        <v>-19.99</v>
      </c>
      <c r="C17" s="0" t="n">
        <v>-4</v>
      </c>
      <c r="D17" s="0" t="n">
        <v>100</v>
      </c>
    </row>
    <row r="18" customFormat="false" ht="12.8" hidden="false" customHeight="false" outlineLevel="0" collapsed="false">
      <c r="A18" s="0" t="s">
        <v>23</v>
      </c>
      <c r="B18" s="0" t="n">
        <v>10</v>
      </c>
      <c r="C18" s="0" t="n">
        <v>1</v>
      </c>
      <c r="D18" s="0" t="n">
        <v>1234.5678</v>
      </c>
      <c r="E18" s="0" t="n">
        <v>0.25</v>
      </c>
    </row>
    <row r="19" customFormat="false" ht="12.8" hidden="false" customHeight="false" outlineLevel="0" collapsed="false">
      <c r="A19" s="0" t="s">
        <v>24</v>
      </c>
      <c r="B19" s="0" t="n">
        <v>2.675</v>
      </c>
      <c r="C19" s="0" t="n">
        <v>-1</v>
      </c>
      <c r="D19" s="0" t="n">
        <v>0</v>
      </c>
      <c r="E19" s="0" t="s">
        <v>8</v>
      </c>
    </row>
    <row r="20" customFormat="false" ht="12.8" hidden="false" customHeight="false" outlineLevel="0" collapsed="false">
      <c r="A20" s="0" t="s">
        <v>25</v>
      </c>
      <c r="B20" s="0" t="n">
        <v>-4</v>
      </c>
      <c r="C20" s="0" t="n">
        <v>100</v>
      </c>
      <c r="D20" s="0" t="n">
        <v>25</v>
      </c>
    </row>
    <row r="21" customFormat="false" ht="12.8" hidden="false" customHeight="false" outlineLevel="0" collapsed="false">
      <c r="A21" s="0" t="s">
        <v>26</v>
      </c>
      <c r="B21" s="0" t="n">
        <v>1</v>
      </c>
      <c r="C21" s="0" t="n">
        <v>-19.99</v>
      </c>
      <c r="D21" s="0" t="n">
        <v>100</v>
      </c>
    </row>
    <row r="22" customFormat="false" ht="12.8" hidden="false" customHeight="false" outlineLevel="0" collapsed="false">
      <c r="A22" s="0" t="s">
        <v>27</v>
      </c>
      <c r="B22" s="0" t="n">
        <v>0</v>
      </c>
      <c r="C22" s="0" t="n">
        <v>25</v>
      </c>
      <c r="D22" s="0" t="n">
        <v>0</v>
      </c>
      <c r="E22" s="0" t="n">
        <v>2.675</v>
      </c>
    </row>
    <row r="23" customFormat="false" ht="12.8" hidden="false" customHeight="false" outlineLevel="0" collapsed="false">
      <c r="A23" s="0" t="s">
        <v>28</v>
      </c>
      <c r="C23" s="0" t="n">
        <v>0.2</v>
      </c>
      <c r="D23" s="0" t="n">
        <v>25</v>
      </c>
      <c r="E23" s="0" t="s">
        <v>14</v>
      </c>
    </row>
    <row r="24" customFormat="false" ht="12.8" hidden="false" customHeight="false" outlineLevel="0" collapsed="false">
      <c r="A24" s="0" t="s">
        <v>29</v>
      </c>
      <c r="B24" s="0" t="n">
        <v>21</v>
      </c>
      <c r="C24" s="0" t="n">
        <v>0</v>
      </c>
      <c r="D24" s="0" t="n">
        <v>0.1</v>
      </c>
      <c r="E24" s="0" t="n">
        <v>0</v>
      </c>
    </row>
    <row r="25" customFormat="false" ht="12.8" hidden="false" customHeight="false" outlineLevel="0" collapsed="false">
      <c r="A25" s="0" t="s">
        <v>30</v>
      </c>
      <c r="C25" s="0" t="n">
        <v>0.2</v>
      </c>
      <c r="D25" s="0" t="n">
        <v>1</v>
      </c>
      <c r="E25" s="0" t="n">
        <v>2</v>
      </c>
    </row>
    <row r="26" customFormat="false" ht="12.8" hidden="false" customHeight="false" outlineLevel="0" collapsed="false">
      <c r="A26" s="0" t="s">
        <v>31</v>
      </c>
      <c r="B26" s="0" t="n">
        <v>0.2</v>
      </c>
      <c r="C26" s="0" t="n">
        <v>2.675</v>
      </c>
      <c r="D26" s="0" t="n">
        <v>7</v>
      </c>
    </row>
    <row r="27" customFormat="false" ht="12.8" hidden="false" customHeight="false" outlineLevel="0" collapsed="false">
      <c r="A27" s="0" t="s">
        <v>32</v>
      </c>
      <c r="B27" s="0" t="n">
        <v>100</v>
      </c>
      <c r="C27" s="0" t="n">
        <v>0.25</v>
      </c>
      <c r="D27" s="0" t="n">
        <v>-4</v>
      </c>
      <c r="E27" s="0" t="n">
        <v>0</v>
      </c>
    </row>
    <row r="28" customFormat="false" ht="12.8" hidden="false" customHeight="false" outlineLevel="0" collapsed="false">
      <c r="A28" s="0" t="s">
        <v>33</v>
      </c>
      <c r="B28" s="0" t="n">
        <v>0.25</v>
      </c>
      <c r="C28" s="0" t="n">
        <v>0.5</v>
      </c>
      <c r="D28" s="0" t="n">
        <v>1234.5678</v>
      </c>
      <c r="E28" s="0" t="s">
        <v>14</v>
      </c>
    </row>
    <row r="29" customFormat="false" ht="12.8" hidden="false" customHeight="false" outlineLevel="0" collapsed="false">
      <c r="A29" s="0" t="s">
        <v>34</v>
      </c>
      <c r="B29" s="0" t="n">
        <v>25</v>
      </c>
      <c r="C29" s="0" t="n">
        <v>-1</v>
      </c>
      <c r="D29" s="0" t="n">
        <v>3</v>
      </c>
    </row>
    <row r="30" customFormat="false" ht="12.8" hidden="false" customHeight="false" outlineLevel="0" collapsed="false">
      <c r="A30" s="0" t="s">
        <v>35</v>
      </c>
      <c r="B30" s="0" t="n">
        <v>-1</v>
      </c>
      <c r="C30" s="0" t="n">
        <v>2</v>
      </c>
      <c r="D30" s="0" t="n">
        <v>0.1</v>
      </c>
      <c r="E30" s="0" t="s">
        <v>8</v>
      </c>
    </row>
    <row r="31" customFormat="false" ht="12.8" hidden="false" customHeight="false" outlineLevel="0" collapsed="false">
      <c r="A31" s="0" t="s">
        <v>36</v>
      </c>
      <c r="B31" s="0" t="n">
        <v>0.5</v>
      </c>
      <c r="C31" s="0" t="n">
        <v>10</v>
      </c>
      <c r="D31" s="0" t="n">
        <v>3</v>
      </c>
      <c r="E31" s="0" t="n">
        <v>7</v>
      </c>
    </row>
    <row r="32" customFormat="false" ht="12.8" hidden="false" customHeight="false" outlineLevel="0" collapsed="false">
      <c r="A32" s="0" t="s">
        <v>37</v>
      </c>
      <c r="B32" s="0" t="n">
        <v>1</v>
      </c>
      <c r="C32" s="0" t="n">
        <v>1.005</v>
      </c>
      <c r="D32" s="0" t="n">
        <v>0.1</v>
      </c>
      <c r="E32" s="0" t="s">
        <v>14</v>
      </c>
    </row>
    <row r="33" customFormat="false" ht="12.8" hidden="false" customHeight="false" outlineLevel="0" collapsed="false">
      <c r="A33" s="0" t="s">
        <v>38</v>
      </c>
      <c r="B33" s="0" t="n">
        <v>100</v>
      </c>
      <c r="C33" s="0" t="n">
        <v>617.06</v>
      </c>
      <c r="D33" s="0" t="n">
        <v>0</v>
      </c>
    </row>
    <row r="34" customFormat="false" ht="12.8" hidden="false" customHeight="false" outlineLevel="0" collapsed="false">
      <c r="A34" s="0" t="s">
        <v>39</v>
      </c>
      <c r="B34" s="0" t="n">
        <v>1.005</v>
      </c>
      <c r="C34" s="0" t="n">
        <v>-601.16</v>
      </c>
      <c r="D34" s="0" t="n">
        <v>0.2</v>
      </c>
      <c r="E34" s="0" t="s">
        <v>8</v>
      </c>
    </row>
    <row r="35" customFormat="false" ht="12.8" hidden="false" customHeight="false" outlineLevel="0" collapsed="false">
      <c r="A35" s="0" t="s">
        <v>40</v>
      </c>
      <c r="B35" s="0" t="n">
        <v>10</v>
      </c>
      <c r="C35" s="0" t="n">
        <v>100</v>
      </c>
      <c r="D35" s="0" t="n">
        <v>32</v>
      </c>
    </row>
    <row r="36" customFormat="false" ht="12.8" hidden="false" customHeight="false" outlineLevel="0" collapsed="false">
      <c r="A36" s="0" t="s">
        <v>41</v>
      </c>
      <c r="B36" s="0" t="n">
        <v>1.005</v>
      </c>
      <c r="C36" s="0" t="n">
        <v>-19.99</v>
      </c>
      <c r="E36" s="0" t="n">
        <v>100</v>
      </c>
    </row>
    <row r="37" customFormat="false" ht="12.8" hidden="false" customHeight="false" outlineLevel="0" collapsed="false">
      <c r="A37" s="0" t="s">
        <v>42</v>
      </c>
      <c r="B37" s="0" t="n">
        <v>296</v>
      </c>
      <c r="C37" s="0" t="n">
        <v>-488</v>
      </c>
      <c r="D37" s="0" t="n">
        <v>0.2</v>
      </c>
    </row>
    <row r="38" customFormat="false" ht="12.8" hidden="false" customHeight="false" outlineLevel="0" collapsed="false">
      <c r="A38" s="0" t="s">
        <v>43</v>
      </c>
      <c r="B38" s="0" t="n">
        <v>25</v>
      </c>
      <c r="C38" s="0" t="n">
        <v>-19.99</v>
      </c>
      <c r="D38" s="0" t="n">
        <v>-1</v>
      </c>
      <c r="E38" s="0" t="s">
        <v>14</v>
      </c>
    </row>
    <row r="39" customFormat="false" ht="12.8" hidden="false" customHeight="false" outlineLevel="0" collapsed="false">
      <c r="A39" s="0" t="s">
        <v>44</v>
      </c>
      <c r="B39" s="0" t="n">
        <v>3</v>
      </c>
      <c r="C39" s="0" t="n">
        <v>25</v>
      </c>
      <c r="D39" s="0" t="n">
        <v>0.1</v>
      </c>
      <c r="E39" s="0" t="s">
        <v>14</v>
      </c>
    </row>
    <row r="40" customFormat="false" ht="12.8" hidden="false" customHeight="false" outlineLevel="0" collapsed="false">
      <c r="A40" s="0" t="s">
        <v>45</v>
      </c>
      <c r="B40" s="0" t="n">
        <v>-1</v>
      </c>
      <c r="C40" s="0" t="n">
        <v>0</v>
      </c>
      <c r="D40" s="0" t="n">
        <v>2.675</v>
      </c>
      <c r="E40" s="0" t="n">
        <v>0.2</v>
      </c>
    </row>
    <row r="41" customFormat="false" ht="12.8" hidden="false" customHeight="false" outlineLevel="0" collapsed="false">
      <c r="A41" s="0" t="s">
        <v>46</v>
      </c>
      <c r="B41" s="0" t="n">
        <v>0.25</v>
      </c>
      <c r="C41" s="0" t="n">
        <v>25</v>
      </c>
      <c r="D41" s="0" t="n">
        <v>-4</v>
      </c>
      <c r="E41" s="0" t="n">
        <v>10</v>
      </c>
    </row>
    <row r="42" customFormat="false" ht="12.8" hidden="false" customHeight="false" outlineLevel="0" collapsed="false">
      <c r="A42" s="0" t="s">
        <v>47</v>
      </c>
      <c r="B42" s="0" t="n">
        <v>-498</v>
      </c>
      <c r="C42" s="0" t="n">
        <v>0.2</v>
      </c>
      <c r="D42" s="0" t="n">
        <v>1.005</v>
      </c>
      <c r="E42" s="0" t="s">
        <v>8</v>
      </c>
    </row>
    <row r="43" customFormat="false" ht="12.8" hidden="false" customHeight="false" outlineLevel="0" collapsed="false">
      <c r="A43" s="0" t="s">
        <v>48</v>
      </c>
      <c r="B43" s="0" t="n">
        <v>1234.5678</v>
      </c>
      <c r="C43" s="0" t="n">
        <v>-1</v>
      </c>
      <c r="D43" s="0" t="n">
        <v>0.2</v>
      </c>
    </row>
    <row r="44" customFormat="false" ht="12.8" hidden="false" customHeight="false" outlineLevel="0" collapsed="false">
      <c r="A44" s="0" t="s">
        <v>49</v>
      </c>
      <c r="B44" s="0" t="n">
        <v>-19.99</v>
      </c>
      <c r="C44" s="0" t="n">
        <v>-219.26</v>
      </c>
      <c r="D44" s="0" t="n">
        <v>0.2</v>
      </c>
    </row>
    <row r="45" customFormat="false" ht="12.8" hidden="false" customHeight="false" outlineLevel="0" collapsed="false">
      <c r="A45" s="0" t="s">
        <v>50</v>
      </c>
      <c r="B45" s="0" t="n">
        <v>7</v>
      </c>
      <c r="C45" s="0" t="n">
        <v>-19.99</v>
      </c>
    </row>
    <row r="46" customFormat="false" ht="12.8" hidden="false" customHeight="false" outlineLevel="0" collapsed="false">
      <c r="A46" s="0" t="s">
        <v>51</v>
      </c>
      <c r="B46" s="0" t="n">
        <v>7</v>
      </c>
      <c r="C46" s="0" t="n">
        <v>10</v>
      </c>
      <c r="D46" s="0" t="n">
        <v>2</v>
      </c>
      <c r="E46" s="0" t="s">
        <v>8</v>
      </c>
    </row>
    <row r="47" customFormat="false" ht="12.8" hidden="false" customHeight="false" outlineLevel="0" collapsed="false">
      <c r="A47" s="0" t="s">
        <v>52</v>
      </c>
      <c r="B47" s="0" t="n">
        <v>10</v>
      </c>
      <c r="C47" s="0" t="n">
        <v>1234.5678</v>
      </c>
      <c r="D47" s="0" t="n">
        <v>0.1</v>
      </c>
      <c r="E47" s="0" t="s">
        <v>14</v>
      </c>
    </row>
    <row r="48" customFormat="false" ht="12.8" hidden="false" customHeight="false" outlineLevel="0" collapsed="false">
      <c r="A48" s="0" t="s">
        <v>53</v>
      </c>
      <c r="B48" s="0" t="n">
        <v>0.1</v>
      </c>
      <c r="C48" s="0" t="n">
        <v>100</v>
      </c>
      <c r="D48" s="0" t="n">
        <v>100</v>
      </c>
      <c r="E48" s="0" t="s">
        <v>8</v>
      </c>
    </row>
    <row r="49" customFormat="false" ht="12.8" hidden="false" customHeight="false" outlineLevel="0" collapsed="false">
      <c r="A49" s="0" t="s">
        <v>54</v>
      </c>
      <c r="C49" s="0" t="n">
        <v>10</v>
      </c>
      <c r="D49" s="0" t="n">
        <v>-1</v>
      </c>
      <c r="E49" s="0" t="s">
        <v>8</v>
      </c>
    </row>
    <row r="50" customFormat="false" ht="12.8" hidden="false" customHeight="false" outlineLevel="0" collapsed="false">
      <c r="A50" s="0" t="s">
        <v>55</v>
      </c>
      <c r="B50" s="0" t="n">
        <v>3</v>
      </c>
      <c r="C50" s="0" t="n">
        <v>0.5</v>
      </c>
      <c r="D50" s="0" t="n">
        <v>0.2</v>
      </c>
    </row>
    <row r="51" customFormat="false" ht="12.8" hidden="false" customHeight="false" outlineLevel="0" collapsed="false">
      <c r="A51" s="0" t="s">
        <v>56</v>
      </c>
      <c r="B51" s="0" t="n">
        <v>25</v>
      </c>
      <c r="C51" s="0" t="n">
        <v>0.25</v>
      </c>
      <c r="D51" s="0" t="n">
        <v>0.25</v>
      </c>
    </row>
    <row r="52" customFormat="false" ht="12.8" hidden="false" customHeight="false" outlineLevel="0" collapsed="false">
      <c r="A52" s="0" t="s">
        <v>57</v>
      </c>
      <c r="B52" s="0" t="n">
        <v>0.2</v>
      </c>
      <c r="C52" s="0" t="n">
        <v>3</v>
      </c>
      <c r="D52" s="0" t="n">
        <v>25</v>
      </c>
      <c r="E52" s="0" t="s">
        <v>14</v>
      </c>
    </row>
    <row r="53" customFormat="false" ht="12.8" hidden="false" customHeight="false" outlineLevel="0" collapsed="false">
      <c r="A53" s="0" t="s">
        <v>58</v>
      </c>
      <c r="B53" s="0" t="n">
        <v>0.5</v>
      </c>
      <c r="C53" s="0" t="n">
        <v>2</v>
      </c>
      <c r="D53" s="0" t="n">
        <v>931.88</v>
      </c>
    </row>
    <row r="54" customFormat="false" ht="12.8" hidden="false" customHeight="false" outlineLevel="0" collapsed="false">
      <c r="A54" s="0" t="s">
        <v>59</v>
      </c>
      <c r="B54" s="0" t="n">
        <v>1</v>
      </c>
      <c r="C54" s="0" t="n">
        <v>0</v>
      </c>
      <c r="D54" s="0" t="n">
        <v>10</v>
      </c>
      <c r="E54" s="0" t="s">
        <v>14</v>
      </c>
    </row>
    <row r="55" customFormat="false" ht="12.8" hidden="false" customHeight="false" outlineLevel="0" collapsed="false">
      <c r="A55" s="0" t="s">
        <v>60</v>
      </c>
      <c r="B55" s="0" t="n">
        <v>2.675</v>
      </c>
      <c r="C55" s="0" t="n">
        <v>2</v>
      </c>
      <c r="D55" s="0" t="n">
        <v>1234.5678</v>
      </c>
      <c r="E55" s="0" t="n">
        <v>0.5</v>
      </c>
    </row>
    <row r="56" customFormat="false" ht="12.8" hidden="false" customHeight="false" outlineLevel="0" collapsed="false">
      <c r="A56" s="0" t="s">
        <v>61</v>
      </c>
      <c r="B56" s="0" t="n">
        <v>-343.35</v>
      </c>
      <c r="D56" s="0" t="n">
        <v>0.2</v>
      </c>
      <c r="E56" s="0" t="s">
        <v>14</v>
      </c>
    </row>
    <row r="57" customFormat="false" ht="12.8" hidden="false" customHeight="false" outlineLevel="0" collapsed="false">
      <c r="A57" s="0" t="s">
        <v>62</v>
      </c>
      <c r="B57" s="0" t="n">
        <v>-19.99</v>
      </c>
      <c r="C57" s="0" t="n">
        <v>25</v>
      </c>
      <c r="D57" s="0" t="n">
        <v>-260</v>
      </c>
    </row>
    <row r="58" customFormat="false" ht="12.8" hidden="false" customHeight="false" outlineLevel="0" collapsed="false">
      <c r="A58" s="0" t="s">
        <v>63</v>
      </c>
      <c r="B58" s="0" t="n">
        <v>1234.5678</v>
      </c>
      <c r="C58" s="0" t="n">
        <v>2.675</v>
      </c>
      <c r="D58" s="0" t="n">
        <v>1234.5678</v>
      </c>
    </row>
    <row r="59" customFormat="false" ht="12.8" hidden="false" customHeight="false" outlineLevel="0" collapsed="false">
      <c r="A59" s="0" t="s">
        <v>64</v>
      </c>
      <c r="B59" s="0" t="n">
        <v>2.675</v>
      </c>
      <c r="C59" s="0" t="n">
        <v>0.1</v>
      </c>
    </row>
    <row r="60" customFormat="false" ht="12.8" hidden="false" customHeight="false" outlineLevel="0" collapsed="false">
      <c r="A60" s="0" t="s">
        <v>65</v>
      </c>
      <c r="B60" s="0" t="n">
        <v>-4</v>
      </c>
      <c r="D60" s="0" t="n">
        <v>0</v>
      </c>
    </row>
    <row r="61" customFormat="false" ht="12.8" hidden="false" customHeight="false" outlineLevel="0" collapsed="false">
      <c r="A61" s="0" t="s">
        <v>66</v>
      </c>
      <c r="B61" s="0" t="n">
        <v>100</v>
      </c>
      <c r="C61" s="0" t="n">
        <v>-681.45</v>
      </c>
      <c r="D61" s="0" t="n">
        <v>0.5</v>
      </c>
    </row>
    <row r="62" customFormat="false" ht="12.8" hidden="false" customHeight="false" outlineLevel="0" collapsed="false">
      <c r="A62" s="0" t="s">
        <v>67</v>
      </c>
      <c r="B62" s="0" t="n">
        <v>25</v>
      </c>
      <c r="C62" s="0" t="n">
        <v>25</v>
      </c>
      <c r="D62" s="0" t="n">
        <v>-421</v>
      </c>
      <c r="E62" s="0" t="n">
        <v>10</v>
      </c>
    </row>
    <row r="63" customFormat="false" ht="12.8" hidden="false" customHeight="false" outlineLevel="0" collapsed="false">
      <c r="A63" s="0" t="s">
        <v>68</v>
      </c>
      <c r="B63" s="0" t="n">
        <v>10</v>
      </c>
      <c r="C63" s="0" t="n">
        <v>1234.5678</v>
      </c>
      <c r="D63" s="0" t="n">
        <v>1</v>
      </c>
    </row>
    <row r="64" customFormat="false" ht="12.8" hidden="false" customHeight="false" outlineLevel="0" collapsed="false">
      <c r="A64" s="0" t="s">
        <v>69</v>
      </c>
      <c r="B64" s="0" t="n">
        <v>1.005</v>
      </c>
      <c r="C64" s="0" t="n">
        <v>7</v>
      </c>
      <c r="D64" s="0" t="n">
        <v>-131.44</v>
      </c>
      <c r="E64" s="0" t="s">
        <v>8</v>
      </c>
    </row>
    <row r="65" customFormat="false" ht="12.8" hidden="false" customHeight="false" outlineLevel="0" collapsed="false">
      <c r="A65" s="0" t="s">
        <v>70</v>
      </c>
      <c r="B65" s="0" t="n">
        <v>100</v>
      </c>
      <c r="C65" s="0" t="n">
        <v>100</v>
      </c>
      <c r="D65" s="0" t="n">
        <v>25</v>
      </c>
      <c r="E65" s="0" t="s">
        <v>8</v>
      </c>
    </row>
    <row r="66" customFormat="false" ht="12.8" hidden="false" customHeight="false" outlineLevel="0" collapsed="false">
      <c r="A66" s="0" t="s">
        <v>71</v>
      </c>
      <c r="B66" s="0" t="n">
        <v>7</v>
      </c>
      <c r="C66" s="0" t="n">
        <v>0.25</v>
      </c>
      <c r="D66" s="0" t="n">
        <v>7</v>
      </c>
      <c r="E66" s="0" t="n">
        <v>0.5</v>
      </c>
    </row>
    <row r="67" customFormat="false" ht="12.8" hidden="false" customHeight="false" outlineLevel="0" collapsed="false">
      <c r="A67" s="0" t="s">
        <v>72</v>
      </c>
      <c r="B67" s="0" t="n">
        <v>1.005</v>
      </c>
      <c r="C67" s="0" t="n">
        <v>2</v>
      </c>
      <c r="D67" s="0" t="n">
        <v>1234.5678</v>
      </c>
      <c r="E67" s="0" t="s">
        <v>8</v>
      </c>
    </row>
    <row r="68" customFormat="false" ht="12.8" hidden="false" customHeight="false" outlineLevel="0" collapsed="false">
      <c r="A68" s="0" t="s">
        <v>73</v>
      </c>
      <c r="B68" s="0" t="n">
        <v>-1</v>
      </c>
      <c r="C68" s="0" t="n">
        <v>2</v>
      </c>
      <c r="D68" s="0" t="n">
        <v>0.5</v>
      </c>
      <c r="E68" s="0" t="s">
        <v>8</v>
      </c>
    </row>
    <row r="69" customFormat="false" ht="12.8" hidden="false" customHeight="false" outlineLevel="0" collapsed="false">
      <c r="A69" s="0" t="s">
        <v>74</v>
      </c>
      <c r="B69" s="0" t="n">
        <v>227</v>
      </c>
      <c r="C69" s="0" t="n">
        <v>-1</v>
      </c>
      <c r="D69" s="0" t="n">
        <v>25</v>
      </c>
      <c r="E69" s="0" t="n">
        <v>2.675</v>
      </c>
    </row>
    <row r="70" customFormat="false" ht="12.8" hidden="false" customHeight="false" outlineLevel="0" collapsed="false">
      <c r="A70" s="0" t="s">
        <v>75</v>
      </c>
      <c r="B70" s="0" t="n">
        <v>-4</v>
      </c>
      <c r="C70" s="0" t="n">
        <v>3</v>
      </c>
      <c r="D70" s="0" t="n">
        <v>-408</v>
      </c>
    </row>
    <row r="71" customFormat="false" ht="12.8" hidden="false" customHeight="false" outlineLevel="0" collapsed="false">
      <c r="A71" s="0" t="s">
        <v>76</v>
      </c>
      <c r="B71" s="0" t="n">
        <v>0.5</v>
      </c>
      <c r="C71" s="0" t="n">
        <v>100</v>
      </c>
      <c r="D71" s="0" t="n">
        <v>7</v>
      </c>
    </row>
    <row r="72" customFormat="false" ht="12.8" hidden="false" customHeight="false" outlineLevel="0" collapsed="false">
      <c r="A72" s="0" t="s">
        <v>77</v>
      </c>
      <c r="B72" s="0" t="n">
        <v>7</v>
      </c>
      <c r="C72" s="0" t="n">
        <v>1.005</v>
      </c>
      <c r="D72" s="0" t="n">
        <v>100</v>
      </c>
    </row>
    <row r="73" customFormat="false" ht="12.8" hidden="false" customHeight="false" outlineLevel="0" collapsed="false">
      <c r="A73" s="0" t="s">
        <v>78</v>
      </c>
      <c r="B73" s="0" t="n">
        <v>3</v>
      </c>
      <c r="C73" s="0" t="n">
        <v>0.5</v>
      </c>
      <c r="D73" s="0" t="n">
        <v>2</v>
      </c>
      <c r="E73" s="0" t="s">
        <v>8</v>
      </c>
    </row>
    <row r="74" customFormat="false" ht="12.8" hidden="false" customHeight="false" outlineLevel="0" collapsed="false">
      <c r="A74" s="0" t="s">
        <v>79</v>
      </c>
      <c r="B74" s="0" t="n">
        <v>2.675</v>
      </c>
      <c r="D74" s="0" t="n">
        <v>0.1</v>
      </c>
      <c r="E74" s="0" t="s">
        <v>14</v>
      </c>
    </row>
    <row r="75" customFormat="false" ht="12.8" hidden="false" customHeight="false" outlineLevel="0" collapsed="false">
      <c r="A75" s="0" t="s">
        <v>80</v>
      </c>
      <c r="B75" s="0" t="n">
        <v>-4</v>
      </c>
      <c r="C75" s="0" t="n">
        <v>0.25</v>
      </c>
      <c r="D75" s="0" t="n">
        <v>3</v>
      </c>
    </row>
    <row r="76" customFormat="false" ht="12.8" hidden="false" customHeight="false" outlineLevel="0" collapsed="false">
      <c r="A76" s="0" t="s">
        <v>81</v>
      </c>
      <c r="B76" s="0" t="n">
        <v>0.2</v>
      </c>
      <c r="C76" s="0" t="n">
        <v>1.005</v>
      </c>
      <c r="D76" s="0" t="n">
        <v>0.25</v>
      </c>
      <c r="E76" s="0" t="s">
        <v>8</v>
      </c>
    </row>
    <row r="77" customFormat="false" ht="12.8" hidden="false" customHeight="false" outlineLevel="0" collapsed="false">
      <c r="A77" s="0" t="s">
        <v>82</v>
      </c>
      <c r="B77" s="0" t="n">
        <v>0.25</v>
      </c>
      <c r="C77" s="0" t="n">
        <v>-1</v>
      </c>
      <c r="D77" s="0" t="n">
        <v>-273</v>
      </c>
    </row>
    <row r="78" customFormat="false" ht="12.8" hidden="false" customHeight="false" outlineLevel="0" collapsed="false">
      <c r="A78" s="0" t="s">
        <v>83</v>
      </c>
      <c r="B78" s="0" t="n">
        <v>0.5</v>
      </c>
      <c r="C78" s="0" t="n">
        <v>-4</v>
      </c>
      <c r="D78" s="0" t="n">
        <v>10</v>
      </c>
    </row>
    <row r="79" customFormat="false" ht="12.8" hidden="false" customHeight="false" outlineLevel="0" collapsed="false">
      <c r="A79" s="0" t="s">
        <v>84</v>
      </c>
      <c r="B79" s="0" t="n">
        <v>2</v>
      </c>
      <c r="C79" s="0" t="n">
        <v>2</v>
      </c>
      <c r="D79" s="0" t="n">
        <v>100</v>
      </c>
      <c r="E79" s="0" t="n">
        <v>3</v>
      </c>
    </row>
    <row r="80" customFormat="false" ht="12.8" hidden="false" customHeight="false" outlineLevel="0" collapsed="false">
      <c r="A80" s="0" t="s">
        <v>85</v>
      </c>
      <c r="B80" s="0" t="n">
        <v>0.1</v>
      </c>
      <c r="C80" s="0" t="n">
        <v>0.1</v>
      </c>
      <c r="D80" s="0" t="n">
        <v>0.2</v>
      </c>
    </row>
    <row r="81" customFormat="false" ht="12.8" hidden="false" customHeight="false" outlineLevel="0" collapsed="false">
      <c r="A81" s="0" t="s">
        <v>86</v>
      </c>
      <c r="B81" s="0" t="n">
        <v>-4</v>
      </c>
      <c r="C81" s="0" t="n">
        <v>0.5</v>
      </c>
      <c r="D81" s="0" t="n">
        <v>0.5</v>
      </c>
      <c r="E81" s="0" t="n">
        <v>3</v>
      </c>
    </row>
    <row r="82" customFormat="false" ht="12.8" hidden="false" customHeight="false" outlineLevel="0" collapsed="false">
      <c r="A82" s="0" t="s">
        <v>87</v>
      </c>
      <c r="B82" s="0" t="n">
        <v>0.25</v>
      </c>
      <c r="C82" s="0" t="n">
        <v>2</v>
      </c>
      <c r="D82" s="0" t="n">
        <v>7</v>
      </c>
      <c r="E82" s="0" t="s">
        <v>14</v>
      </c>
    </row>
    <row r="83" customFormat="false" ht="12.8" hidden="false" customHeight="false" outlineLevel="0" collapsed="false">
      <c r="A83" s="0" t="s">
        <v>88</v>
      </c>
      <c r="B83" s="0" t="n">
        <v>2</v>
      </c>
      <c r="D83" s="0" t="n">
        <v>0</v>
      </c>
    </row>
    <row r="84" customFormat="false" ht="12.8" hidden="false" customHeight="false" outlineLevel="0" collapsed="false">
      <c r="A84" s="0" t="s">
        <v>89</v>
      </c>
      <c r="B84" s="0" t="n">
        <v>-19.99</v>
      </c>
      <c r="C84" s="0" t="n">
        <v>-4</v>
      </c>
      <c r="D84" s="0" t="n">
        <v>-4</v>
      </c>
      <c r="E84" s="0" t="s">
        <v>14</v>
      </c>
    </row>
    <row r="85" customFormat="false" ht="12.8" hidden="false" customHeight="false" outlineLevel="0" collapsed="false">
      <c r="A85" s="0" t="s">
        <v>90</v>
      </c>
      <c r="B85" s="0" t="n">
        <v>226</v>
      </c>
      <c r="C85" s="0" t="n">
        <v>1.005</v>
      </c>
      <c r="E85" s="0" t="n">
        <v>489</v>
      </c>
    </row>
    <row r="86" customFormat="false" ht="12.8" hidden="false" customHeight="false" outlineLevel="0" collapsed="false">
      <c r="A86" s="0" t="s">
        <v>91</v>
      </c>
      <c r="B86" s="0" t="n">
        <v>0.1</v>
      </c>
      <c r="D86" s="0" t="n">
        <v>-4</v>
      </c>
    </row>
    <row r="87" customFormat="false" ht="12.8" hidden="false" customHeight="false" outlineLevel="0" collapsed="false">
      <c r="A87" s="0" t="s">
        <v>92</v>
      </c>
      <c r="B87" s="0" t="n">
        <v>3</v>
      </c>
      <c r="C87" s="0" t="n">
        <v>2</v>
      </c>
      <c r="D87" s="0" t="n">
        <v>100</v>
      </c>
    </row>
    <row r="88" customFormat="false" ht="12.8" hidden="false" customHeight="false" outlineLevel="0" collapsed="false">
      <c r="A88" s="0" t="s">
        <v>93</v>
      </c>
      <c r="B88" s="0" t="n">
        <v>0</v>
      </c>
      <c r="C88" s="0" t="n">
        <v>25</v>
      </c>
      <c r="E88" s="0" t="n">
        <v>-1</v>
      </c>
    </row>
    <row r="89" customFormat="false" ht="12.8" hidden="false" customHeight="false" outlineLevel="0" collapsed="false">
      <c r="A89" s="0" t="s">
        <v>94</v>
      </c>
      <c r="B89" s="0" t="n">
        <v>-19.99</v>
      </c>
      <c r="C89" s="0" t="n">
        <v>7</v>
      </c>
      <c r="D89" s="0" t="n">
        <v>-19.99</v>
      </c>
      <c r="E89" s="0" t="s">
        <v>8</v>
      </c>
    </row>
    <row r="90" customFormat="false" ht="12.8" hidden="false" customHeight="false" outlineLevel="0" collapsed="false">
      <c r="A90" s="0" t="s">
        <v>95</v>
      </c>
      <c r="B90" s="0" t="n">
        <v>0.5</v>
      </c>
      <c r="C90" s="0" t="n">
        <v>1234.5678</v>
      </c>
      <c r="E90" s="0" t="s">
        <v>8</v>
      </c>
    </row>
    <row r="91" customFormat="false" ht="12.8" hidden="false" customHeight="false" outlineLevel="0" collapsed="false">
      <c r="A91" s="0" t="s">
        <v>96</v>
      </c>
      <c r="B91" s="0" t="n">
        <v>-77.01</v>
      </c>
      <c r="C91" s="0" t="n">
        <v>0.5</v>
      </c>
      <c r="D91" s="0" t="n">
        <v>2.675</v>
      </c>
    </row>
    <row r="92" customFormat="false" ht="12.8" hidden="false" customHeight="false" outlineLevel="0" collapsed="false">
      <c r="A92" s="0" t="s">
        <v>97</v>
      </c>
      <c r="B92" s="0" t="n">
        <v>1234.5678</v>
      </c>
      <c r="C92" s="0" t="n">
        <v>0.25</v>
      </c>
      <c r="D92" s="0" t="n">
        <v>1</v>
      </c>
      <c r="E92" s="0" t="n">
        <v>2</v>
      </c>
    </row>
    <row r="93" customFormat="false" ht="12.8" hidden="false" customHeight="false" outlineLevel="0" collapsed="false">
      <c r="A93" s="0" t="s">
        <v>98</v>
      </c>
      <c r="B93" s="0" t="n">
        <v>0.1</v>
      </c>
      <c r="C93" s="0" t="n">
        <v>7</v>
      </c>
      <c r="D93" s="0" t="n">
        <v>-19.99</v>
      </c>
      <c r="E93" s="0" t="s">
        <v>8</v>
      </c>
    </row>
    <row r="94" customFormat="false" ht="12.8" hidden="false" customHeight="false" outlineLevel="0" collapsed="false">
      <c r="A94" s="0" t="s">
        <v>99</v>
      </c>
      <c r="B94" s="0" t="n">
        <v>25</v>
      </c>
      <c r="C94" s="0" t="n">
        <v>0.5</v>
      </c>
      <c r="D94" s="0" t="n">
        <v>1234.5678</v>
      </c>
    </row>
    <row r="95" customFormat="false" ht="12.8" hidden="false" customHeight="false" outlineLevel="0" collapsed="false">
      <c r="A95" s="0" t="s">
        <v>100</v>
      </c>
      <c r="B95" s="0" t="n">
        <v>10</v>
      </c>
      <c r="C95" s="0" t="n">
        <v>2</v>
      </c>
      <c r="D95" s="0" t="n">
        <v>0.5</v>
      </c>
    </row>
    <row r="96" customFormat="false" ht="12.8" hidden="false" customHeight="false" outlineLevel="0" collapsed="false">
      <c r="A96" s="0" t="s">
        <v>101</v>
      </c>
      <c r="B96" s="0" t="n">
        <v>766.05</v>
      </c>
      <c r="C96" s="0" t="n">
        <v>0</v>
      </c>
      <c r="D96" s="0" t="n">
        <v>7</v>
      </c>
      <c r="E96" s="0" t="s">
        <v>14</v>
      </c>
    </row>
    <row r="97" customFormat="false" ht="12.8" hidden="false" customHeight="false" outlineLevel="0" collapsed="false">
      <c r="A97" s="0" t="s">
        <v>102</v>
      </c>
      <c r="B97" s="0" t="n">
        <v>100</v>
      </c>
      <c r="D97" s="0" t="n">
        <v>10</v>
      </c>
    </row>
    <row r="98" customFormat="false" ht="12.8" hidden="false" customHeight="false" outlineLevel="0" collapsed="false">
      <c r="A98" s="0" t="s">
        <v>103</v>
      </c>
      <c r="B98" s="0" t="n">
        <v>0.1</v>
      </c>
      <c r="C98" s="0" t="n">
        <v>1.005</v>
      </c>
      <c r="D98" s="0" t="n">
        <v>0.25</v>
      </c>
    </row>
    <row r="99" customFormat="false" ht="12.8" hidden="false" customHeight="false" outlineLevel="0" collapsed="false">
      <c r="A99" s="0" t="s">
        <v>104</v>
      </c>
      <c r="B99" s="0" t="n">
        <v>1</v>
      </c>
      <c r="C99" s="0" t="n">
        <v>7</v>
      </c>
      <c r="D99" s="0" t="n">
        <v>2</v>
      </c>
      <c r="E99" s="0" t="s">
        <v>14</v>
      </c>
    </row>
    <row r="100" customFormat="false" ht="12.8" hidden="false" customHeight="false" outlineLevel="0" collapsed="false">
      <c r="A100" s="0" t="s">
        <v>105</v>
      </c>
      <c r="B100" s="0" t="n">
        <v>1.005</v>
      </c>
      <c r="C100" s="0" t="n">
        <v>100</v>
      </c>
      <c r="D100" s="0" t="n">
        <v>10</v>
      </c>
    </row>
    <row r="101" customFormat="false" ht="12.8" hidden="false" customHeight="false" outlineLevel="0" collapsed="false">
      <c r="A101" s="0" t="s">
        <v>106</v>
      </c>
      <c r="B101" s="0" t="n">
        <v>-686.04</v>
      </c>
      <c r="C101" s="0" t="n">
        <v>10</v>
      </c>
      <c r="D101" s="0" t="n">
        <v>100</v>
      </c>
    </row>
    <row r="102" customFormat="false" ht="12.8" hidden="false" customHeight="false" outlineLevel="0" collapsed="false">
      <c r="A102" s="0" t="s">
        <v>107</v>
      </c>
      <c r="B102" s="0" t="n">
        <v>100</v>
      </c>
      <c r="C102" s="0" t="n">
        <v>100</v>
      </c>
      <c r="D102" s="0" t="n">
        <v>7</v>
      </c>
    </row>
    <row r="103" customFormat="false" ht="12.8" hidden="false" customHeight="false" outlineLevel="0" collapsed="false">
      <c r="A103" s="0" t="s">
        <v>108</v>
      </c>
      <c r="B103" s="0" t="n">
        <v>7</v>
      </c>
      <c r="C103" s="0" t="n">
        <v>2</v>
      </c>
      <c r="D103" s="0" t="n">
        <v>2.675</v>
      </c>
    </row>
    <row r="104" customFormat="false" ht="12.8" hidden="false" customHeight="false" outlineLevel="0" collapsed="false">
      <c r="A104" s="0" t="s">
        <v>109</v>
      </c>
      <c r="B104" s="0" t="n">
        <v>3</v>
      </c>
      <c r="C104" s="0" t="n">
        <v>-341.3</v>
      </c>
      <c r="D104" s="0" t="n">
        <v>-1</v>
      </c>
    </row>
    <row r="105" customFormat="false" ht="12.8" hidden="false" customHeight="false" outlineLevel="0" collapsed="false">
      <c r="A105" s="0" t="s">
        <v>110</v>
      </c>
      <c r="B105" s="0" t="n">
        <v>-796.19</v>
      </c>
      <c r="C105" s="0" t="n">
        <v>0.5</v>
      </c>
      <c r="D105" s="0" t="n">
        <v>136</v>
      </c>
      <c r="E105" s="0" t="s">
        <v>8</v>
      </c>
    </row>
    <row r="106" customFormat="false" ht="12.8" hidden="false" customHeight="false" outlineLevel="0" collapsed="false">
      <c r="A106" s="0" t="s">
        <v>111</v>
      </c>
      <c r="B106" s="0" t="n">
        <v>352</v>
      </c>
      <c r="C106" s="0" t="n">
        <v>7</v>
      </c>
      <c r="D106" s="0" t="n">
        <v>1</v>
      </c>
      <c r="E106" s="0" t="n">
        <v>2</v>
      </c>
    </row>
    <row r="107" customFormat="false" ht="12.8" hidden="false" customHeight="false" outlineLevel="0" collapsed="false">
      <c r="A107" s="0" t="s">
        <v>112</v>
      </c>
      <c r="B107" s="0" t="n">
        <v>7</v>
      </c>
      <c r="C107" s="0" t="n">
        <v>246</v>
      </c>
      <c r="D107" s="0" t="n">
        <v>0.1</v>
      </c>
      <c r="E107" s="0" t="s">
        <v>14</v>
      </c>
    </row>
    <row r="108" customFormat="false" ht="12.8" hidden="false" customHeight="false" outlineLevel="0" collapsed="false">
      <c r="A108" s="0" t="s">
        <v>113</v>
      </c>
      <c r="B108" s="0" t="n">
        <v>25</v>
      </c>
      <c r="C108" s="0" t="n">
        <v>1</v>
      </c>
      <c r="D108" s="0" t="n">
        <v>7</v>
      </c>
    </row>
    <row r="109" customFormat="false" ht="12.8" hidden="false" customHeight="false" outlineLevel="0" collapsed="false">
      <c r="A109" s="0" t="s">
        <v>114</v>
      </c>
      <c r="B109" s="0" t="n">
        <v>196</v>
      </c>
      <c r="C109" s="0" t="n">
        <v>0.25</v>
      </c>
    </row>
    <row r="110" customFormat="false" ht="12.8" hidden="false" customHeight="false" outlineLevel="0" collapsed="false">
      <c r="A110" s="0" t="s">
        <v>115</v>
      </c>
      <c r="B110" s="0" t="n">
        <v>0.25</v>
      </c>
      <c r="C110" s="0" t="n">
        <v>3</v>
      </c>
      <c r="D110" s="0" t="n">
        <v>2</v>
      </c>
      <c r="E110" s="0" t="s">
        <v>8</v>
      </c>
    </row>
    <row r="111" customFormat="false" ht="12.8" hidden="false" customHeight="false" outlineLevel="0" collapsed="false">
      <c r="A111" s="0" t="s">
        <v>116</v>
      </c>
      <c r="B111" s="0" t="n">
        <v>0.2</v>
      </c>
      <c r="C111" s="0" t="n">
        <v>-19.99</v>
      </c>
      <c r="D111" s="0" t="n">
        <v>7</v>
      </c>
      <c r="E111" s="0" t="s">
        <v>14</v>
      </c>
    </row>
    <row r="112" customFormat="false" ht="12.8" hidden="false" customHeight="false" outlineLevel="0" collapsed="false">
      <c r="A112" s="0" t="s">
        <v>117</v>
      </c>
      <c r="B112" s="0" t="n">
        <v>7</v>
      </c>
      <c r="C112" s="0" t="n">
        <v>7</v>
      </c>
      <c r="D112" s="0" t="n">
        <v>2</v>
      </c>
      <c r="E112" s="0" t="s">
        <v>14</v>
      </c>
    </row>
    <row r="113" customFormat="false" ht="12.8" hidden="false" customHeight="false" outlineLevel="0" collapsed="false">
      <c r="A113" s="0" t="s">
        <v>118</v>
      </c>
      <c r="B113" s="0" t="n">
        <v>0.5</v>
      </c>
      <c r="C113" s="0" t="n">
        <v>3</v>
      </c>
      <c r="D113" s="0" t="n">
        <v>1234.5678</v>
      </c>
      <c r="E113" s="0" t="s">
        <v>14</v>
      </c>
    </row>
    <row r="114" customFormat="false" ht="12.8" hidden="false" customHeight="false" outlineLevel="0" collapsed="false">
      <c r="A114" s="0" t="s">
        <v>119</v>
      </c>
      <c r="B114" s="0" t="n">
        <v>-262</v>
      </c>
      <c r="C114" s="0" t="n">
        <v>81</v>
      </c>
      <c r="D114" s="0" t="n">
        <v>463</v>
      </c>
      <c r="E114" s="0" t="s">
        <v>14</v>
      </c>
    </row>
    <row r="115" customFormat="false" ht="12.8" hidden="false" customHeight="false" outlineLevel="0" collapsed="false">
      <c r="A115" s="0" t="s">
        <v>120</v>
      </c>
      <c r="B115" s="0" t="n">
        <v>2</v>
      </c>
      <c r="D115" s="0" t="n">
        <v>-1</v>
      </c>
      <c r="E115" s="0" t="s">
        <v>8</v>
      </c>
    </row>
    <row r="116" customFormat="false" ht="12.8" hidden="false" customHeight="false" outlineLevel="0" collapsed="false">
      <c r="A116" s="0" t="s">
        <v>121</v>
      </c>
      <c r="B116" s="0" t="n">
        <v>10</v>
      </c>
      <c r="C116" s="0" t="n">
        <v>0</v>
      </c>
      <c r="E116" s="0" t="s">
        <v>8</v>
      </c>
    </row>
    <row r="117" customFormat="false" ht="12.8" hidden="false" customHeight="false" outlineLevel="0" collapsed="false">
      <c r="A117" s="0" t="s">
        <v>122</v>
      </c>
      <c r="B117" s="0" t="n">
        <v>0.2</v>
      </c>
      <c r="D117" s="0" t="n">
        <v>-19.99</v>
      </c>
      <c r="E117" s="0" t="s">
        <v>14</v>
      </c>
    </row>
    <row r="118" customFormat="false" ht="12.8" hidden="false" customHeight="false" outlineLevel="0" collapsed="false">
      <c r="A118" s="0" t="s">
        <v>123</v>
      </c>
      <c r="B118" s="0" t="n">
        <v>1234.5678</v>
      </c>
      <c r="C118" s="0" t="n">
        <v>1.005</v>
      </c>
      <c r="D118" s="0" t="n">
        <v>-19.99</v>
      </c>
    </row>
    <row r="119" customFormat="false" ht="12.8" hidden="false" customHeight="false" outlineLevel="0" collapsed="false">
      <c r="A119" s="0" t="s">
        <v>124</v>
      </c>
      <c r="B119" s="0" t="n">
        <v>3</v>
      </c>
      <c r="C119" s="0" t="n">
        <v>313</v>
      </c>
      <c r="D119" s="0" t="n">
        <v>1.005</v>
      </c>
    </row>
    <row r="120" customFormat="false" ht="12.8" hidden="false" customHeight="false" outlineLevel="0" collapsed="false">
      <c r="A120" s="0" t="s">
        <v>125</v>
      </c>
      <c r="B120" s="0" t="n">
        <v>-19.99</v>
      </c>
      <c r="C120" s="0" t="n">
        <v>3</v>
      </c>
      <c r="D120" s="0" t="n">
        <v>863.89</v>
      </c>
    </row>
    <row r="121" customFormat="false" ht="12.8" hidden="false" customHeight="false" outlineLevel="0" collapsed="false">
      <c r="A121" s="0" t="s">
        <v>126</v>
      </c>
      <c r="B121" s="0" t="n">
        <v>-393.9</v>
      </c>
      <c r="C121" s="0" t="n">
        <v>7</v>
      </c>
      <c r="D121" s="0" t="n">
        <v>286</v>
      </c>
      <c r="E121" s="0" t="s">
        <v>14</v>
      </c>
    </row>
    <row r="122" customFormat="false" ht="12.8" hidden="false" customHeight="false" outlineLevel="0" collapsed="false">
      <c r="A122" s="0" t="s">
        <v>127</v>
      </c>
      <c r="B122" s="0" t="n">
        <v>0.2</v>
      </c>
      <c r="C122" s="0" t="n">
        <v>0.25</v>
      </c>
      <c r="D122" s="0" t="n">
        <v>1234.5678</v>
      </c>
      <c r="E122" s="0" t="n">
        <v>25</v>
      </c>
    </row>
    <row r="123" customFormat="false" ht="12.8" hidden="false" customHeight="false" outlineLevel="0" collapsed="false">
      <c r="A123" s="0" t="s">
        <v>128</v>
      </c>
      <c r="B123" s="0" t="n">
        <v>0.2</v>
      </c>
      <c r="C123" s="0" t="n">
        <v>2.675</v>
      </c>
      <c r="D123" s="0" t="n">
        <v>2.675</v>
      </c>
      <c r="E123" s="0" t="s">
        <v>14</v>
      </c>
    </row>
    <row r="124" customFormat="false" ht="12.8" hidden="false" customHeight="false" outlineLevel="0" collapsed="false">
      <c r="A124" s="0" t="s">
        <v>129</v>
      </c>
      <c r="B124" s="0" t="n">
        <v>-347.25</v>
      </c>
      <c r="D124" s="0" t="n">
        <v>-288</v>
      </c>
      <c r="E124" s="0" t="n">
        <v>3</v>
      </c>
    </row>
    <row r="125" customFormat="false" ht="12.8" hidden="false" customHeight="false" outlineLevel="0" collapsed="false">
      <c r="A125" s="0" t="s">
        <v>130</v>
      </c>
      <c r="B125" s="0" t="n">
        <v>1.005</v>
      </c>
      <c r="C125" s="0" t="n">
        <v>1234.5678</v>
      </c>
      <c r="D125" s="0" t="n">
        <v>-19.99</v>
      </c>
      <c r="E125" s="0" t="s">
        <v>14</v>
      </c>
    </row>
    <row r="126" customFormat="false" ht="12.8" hidden="false" customHeight="false" outlineLevel="0" collapsed="false">
      <c r="A126" s="0" t="s">
        <v>131</v>
      </c>
      <c r="B126" s="0" t="n">
        <v>2.675</v>
      </c>
      <c r="C126" s="0" t="n">
        <v>1.005</v>
      </c>
    </row>
    <row r="127" customFormat="false" ht="12.8" hidden="false" customHeight="false" outlineLevel="0" collapsed="false">
      <c r="A127" s="0" t="s">
        <v>132</v>
      </c>
      <c r="B127" s="0" t="n">
        <v>25</v>
      </c>
      <c r="C127" s="0" t="n">
        <v>0</v>
      </c>
      <c r="D127" s="0" t="n">
        <v>1234.5678</v>
      </c>
      <c r="E127" s="0" t="n">
        <v>3</v>
      </c>
    </row>
    <row r="128" customFormat="false" ht="12.8" hidden="false" customHeight="false" outlineLevel="0" collapsed="false">
      <c r="A128" s="0" t="s">
        <v>133</v>
      </c>
      <c r="B128" s="0" t="n">
        <v>1234.5678</v>
      </c>
      <c r="C128" s="0" t="n">
        <v>1.005</v>
      </c>
      <c r="D128" s="0" t="n">
        <v>0.25</v>
      </c>
      <c r="E128" s="0" t="s">
        <v>14</v>
      </c>
    </row>
    <row r="129" customFormat="false" ht="12.8" hidden="false" customHeight="false" outlineLevel="0" collapsed="false">
      <c r="A129" s="0" t="s">
        <v>134</v>
      </c>
      <c r="B129" s="0" t="n">
        <v>1234.5678</v>
      </c>
      <c r="C129" s="0" t="n">
        <v>100</v>
      </c>
      <c r="D129" s="0" t="n">
        <v>0</v>
      </c>
    </row>
    <row r="130" customFormat="false" ht="12.8" hidden="false" customHeight="false" outlineLevel="0" collapsed="false">
      <c r="A130" s="0" t="s">
        <v>135</v>
      </c>
      <c r="B130" s="0" t="n">
        <v>7</v>
      </c>
      <c r="C130" s="0" t="n">
        <v>3</v>
      </c>
      <c r="D130" s="0" t="n">
        <v>1</v>
      </c>
    </row>
    <row r="131" customFormat="false" ht="12.8" hidden="false" customHeight="false" outlineLevel="0" collapsed="false">
      <c r="A131" s="0" t="s">
        <v>136</v>
      </c>
      <c r="B131" s="0" t="n">
        <v>0.2</v>
      </c>
      <c r="C131" s="0" t="n">
        <v>2.675</v>
      </c>
      <c r="D131" s="0" t="n">
        <v>-1</v>
      </c>
      <c r="E131" s="0" t="s">
        <v>8</v>
      </c>
    </row>
    <row r="132" customFormat="false" ht="12.8" hidden="false" customHeight="false" outlineLevel="0" collapsed="false">
      <c r="A132" s="0" t="s">
        <v>137</v>
      </c>
      <c r="B132" s="0" t="n">
        <v>0</v>
      </c>
      <c r="C132" s="0" t="n">
        <v>0.2</v>
      </c>
      <c r="D132" s="0" t="n">
        <v>375</v>
      </c>
    </row>
    <row r="133" customFormat="false" ht="12.8" hidden="false" customHeight="false" outlineLevel="0" collapsed="false">
      <c r="A133" s="0" t="s">
        <v>138</v>
      </c>
      <c r="B133" s="0" t="n">
        <v>1234.5678</v>
      </c>
      <c r="C133" s="0" t="n">
        <v>0</v>
      </c>
      <c r="D133" s="0" t="n">
        <v>100</v>
      </c>
      <c r="E133" s="0" t="n">
        <v>515.63</v>
      </c>
    </row>
    <row r="134" customFormat="false" ht="12.8" hidden="false" customHeight="false" outlineLevel="0" collapsed="false">
      <c r="A134" s="0" t="s">
        <v>139</v>
      </c>
      <c r="B134" s="0" t="n">
        <v>0.25</v>
      </c>
      <c r="C134" s="0" t="n">
        <v>100</v>
      </c>
      <c r="D134" s="0" t="n">
        <v>-19.99</v>
      </c>
      <c r="E134" s="0" t="s">
        <v>8</v>
      </c>
    </row>
    <row r="135" customFormat="false" ht="12.8" hidden="false" customHeight="false" outlineLevel="0" collapsed="false">
      <c r="A135" s="0" t="s">
        <v>140</v>
      </c>
      <c r="B135" s="0" t="n">
        <v>1.005</v>
      </c>
      <c r="C135" s="0" t="n">
        <v>-19.99</v>
      </c>
      <c r="D135" s="0" t="n">
        <v>2.675</v>
      </c>
    </row>
    <row r="136" customFormat="false" ht="12.8" hidden="false" customHeight="false" outlineLevel="0" collapsed="false">
      <c r="A136" s="0" t="s">
        <v>141</v>
      </c>
      <c r="B136" s="0" t="n">
        <v>0</v>
      </c>
      <c r="C136" s="0" t="n">
        <v>10</v>
      </c>
      <c r="D136" s="0" t="n">
        <v>3</v>
      </c>
    </row>
    <row r="137" customFormat="false" ht="12.8" hidden="false" customHeight="false" outlineLevel="0" collapsed="false">
      <c r="A137" s="0" t="s">
        <v>142</v>
      </c>
      <c r="B137" s="0" t="n">
        <v>1234.5678</v>
      </c>
      <c r="C137" s="0" t="n">
        <v>0.2</v>
      </c>
      <c r="D137" s="0" t="n">
        <v>7</v>
      </c>
      <c r="E137" s="0" t="s">
        <v>8</v>
      </c>
    </row>
    <row r="138" customFormat="false" ht="12.8" hidden="false" customHeight="false" outlineLevel="0" collapsed="false">
      <c r="A138" s="0" t="s">
        <v>143</v>
      </c>
      <c r="B138" s="0" t="n">
        <v>-1</v>
      </c>
      <c r="C138" s="0" t="n">
        <v>2.675</v>
      </c>
      <c r="D138" s="0" t="n">
        <v>7</v>
      </c>
      <c r="E138" s="0" t="s">
        <v>14</v>
      </c>
    </row>
    <row r="139" customFormat="false" ht="12.8" hidden="false" customHeight="false" outlineLevel="0" collapsed="false">
      <c r="A139" s="0" t="s">
        <v>144</v>
      </c>
      <c r="B139" s="0" t="n">
        <v>25</v>
      </c>
      <c r="C139" s="0" t="n">
        <v>2.675</v>
      </c>
      <c r="E139" s="0" t="s">
        <v>8</v>
      </c>
    </row>
    <row r="140" customFormat="false" ht="12.8" hidden="false" customHeight="false" outlineLevel="0" collapsed="false">
      <c r="A140" s="0" t="s">
        <v>145</v>
      </c>
      <c r="B140" s="0" t="n">
        <v>3</v>
      </c>
      <c r="C140" s="0" t="n">
        <v>2</v>
      </c>
      <c r="D140" s="0" t="n">
        <v>413.04</v>
      </c>
      <c r="E140" s="0" t="s">
        <v>8</v>
      </c>
    </row>
    <row r="141" customFormat="false" ht="12.8" hidden="false" customHeight="false" outlineLevel="0" collapsed="false">
      <c r="A141" s="0" t="s">
        <v>146</v>
      </c>
      <c r="B141" s="0" t="n">
        <v>-187</v>
      </c>
      <c r="C141" s="0" t="n">
        <v>0.5</v>
      </c>
      <c r="D141" s="0" t="n">
        <v>1.005</v>
      </c>
    </row>
    <row r="142" customFormat="false" ht="12.8" hidden="false" customHeight="false" outlineLevel="0" collapsed="false">
      <c r="A142" s="0" t="s">
        <v>147</v>
      </c>
      <c r="B142" s="0" t="n">
        <v>7</v>
      </c>
      <c r="C142" s="0" t="n">
        <v>2.675</v>
      </c>
      <c r="D142" s="0" t="n">
        <v>2</v>
      </c>
      <c r="E142" s="0" t="s">
        <v>8</v>
      </c>
    </row>
    <row r="143" customFormat="false" ht="12.8" hidden="false" customHeight="false" outlineLevel="0" collapsed="false">
      <c r="A143" s="0" t="s">
        <v>148</v>
      </c>
      <c r="B143" s="0" t="n">
        <v>-118</v>
      </c>
      <c r="C143" s="0" t="n">
        <v>0.5</v>
      </c>
      <c r="D143" s="0" t="n">
        <v>1234.5678</v>
      </c>
    </row>
    <row r="144" customFormat="false" ht="12.8" hidden="false" customHeight="false" outlineLevel="0" collapsed="false">
      <c r="A144" s="0" t="s">
        <v>149</v>
      </c>
      <c r="C144" s="0" t="n">
        <v>10</v>
      </c>
      <c r="D144" s="0" t="n">
        <v>0.25</v>
      </c>
      <c r="E144" s="0" t="n">
        <v>10</v>
      </c>
    </row>
    <row r="145" customFormat="false" ht="12.8" hidden="false" customHeight="false" outlineLevel="0" collapsed="false">
      <c r="A145" s="0" t="s">
        <v>150</v>
      </c>
      <c r="B145" s="0" t="n">
        <v>-1</v>
      </c>
      <c r="C145" s="0" t="n">
        <v>7</v>
      </c>
      <c r="D145" s="0" t="n">
        <v>1.005</v>
      </c>
    </row>
    <row r="146" customFormat="false" ht="12.8" hidden="false" customHeight="false" outlineLevel="0" collapsed="false">
      <c r="A146" s="0" t="s">
        <v>151</v>
      </c>
      <c r="B146" s="0" t="n">
        <v>-289</v>
      </c>
      <c r="C146" s="0" t="n">
        <v>100</v>
      </c>
      <c r="D146" s="0" t="n">
        <v>-19.99</v>
      </c>
    </row>
    <row r="147" customFormat="false" ht="12.8" hidden="false" customHeight="false" outlineLevel="0" collapsed="false">
      <c r="A147" s="0" t="s">
        <v>152</v>
      </c>
      <c r="B147" s="0" t="n">
        <v>725.02</v>
      </c>
      <c r="C147" s="0" t="n">
        <v>1</v>
      </c>
      <c r="D147" s="0" t="n">
        <v>0.25</v>
      </c>
    </row>
    <row r="148" customFormat="false" ht="12.8" hidden="false" customHeight="false" outlineLevel="0" collapsed="false">
      <c r="A148" s="0" t="s">
        <v>153</v>
      </c>
      <c r="B148" s="0" t="n">
        <v>-42</v>
      </c>
      <c r="C148" s="0" t="n">
        <v>10</v>
      </c>
      <c r="D148" s="0" t="n">
        <v>0</v>
      </c>
    </row>
    <row r="149" customFormat="false" ht="12.8" hidden="false" customHeight="false" outlineLevel="0" collapsed="false">
      <c r="A149" s="0" t="s">
        <v>154</v>
      </c>
      <c r="B149" s="0" t="n">
        <v>-4</v>
      </c>
      <c r="C149" s="0" t="n">
        <v>0.5</v>
      </c>
      <c r="D149" s="0" t="n">
        <v>7</v>
      </c>
      <c r="E149" s="0" t="n">
        <v>-19.99</v>
      </c>
    </row>
    <row r="150" customFormat="false" ht="12.8" hidden="false" customHeight="false" outlineLevel="0" collapsed="false">
      <c r="A150" s="0" t="s">
        <v>155</v>
      </c>
      <c r="B150" s="0" t="n">
        <v>7</v>
      </c>
      <c r="C150" s="0" t="n">
        <v>0.1</v>
      </c>
      <c r="D150" s="0" t="n">
        <v>720.15</v>
      </c>
      <c r="E150" s="0" t="s">
        <v>8</v>
      </c>
    </row>
    <row r="151" customFormat="false" ht="12.8" hidden="false" customHeight="false" outlineLevel="0" collapsed="false">
      <c r="A151" s="0" t="s">
        <v>156</v>
      </c>
      <c r="B151" s="0" t="n">
        <v>-764.93</v>
      </c>
      <c r="C151" s="0" t="n">
        <v>100</v>
      </c>
      <c r="D151" s="0" t="n">
        <v>-4</v>
      </c>
      <c r="E15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  <c r="N1" s="0" t="s">
        <v>169</v>
      </c>
      <c r="O1" s="0" t="s">
        <v>170</v>
      </c>
      <c r="P1" s="0" t="s">
        <v>171</v>
      </c>
      <c r="Q1" s="0" t="s">
        <v>172</v>
      </c>
      <c r="R1" s="0" t="s">
        <v>173</v>
      </c>
      <c r="S1" s="0" t="s">
        <v>174</v>
      </c>
      <c r="T1" s="0" t="s">
        <v>175</v>
      </c>
      <c r="U1" s="0" t="s">
        <v>176</v>
      </c>
      <c r="V1" s="0" t="s">
        <v>177</v>
      </c>
      <c r="W1" s="0" t="s">
        <v>178</v>
      </c>
      <c r="X1" s="0" t="s">
        <v>179</v>
      </c>
      <c r="Y1" s="0" t="s">
        <v>180</v>
      </c>
    </row>
    <row r="2" customFormat="false" ht="12.8" hidden="false" customHeight="false" outlineLevel="0" collapsed="false">
      <c r="A2" s="0" t="s">
        <v>5</v>
      </c>
      <c r="B2" s="0" t="n">
        <f aca="false">'Inputs 2026'!B2+'Inputs 2026'!C2*'Inputs 2026'!D2</f>
        <v>2.675</v>
      </c>
      <c r="C2" s="0" t="n">
        <f aca="false">('Inputs 2026'!B2-'Inputs 2026'!C2)/'Inputs 2026'!D2</f>
        <v>-2.675</v>
      </c>
      <c r="D2" s="0" t="n">
        <f aca="false">SUM('Inputs 2026'!B2:D2)</f>
        <v>1.675</v>
      </c>
      <c r="E2" s="0" t="n">
        <f aca="false">AVERAGE('Inputs 2026'!B2:E2)</f>
        <v>0.8375</v>
      </c>
      <c r="F2" s="0" t="n">
        <f aca="false">MIN('Inputs 2026'!B2:E2)</f>
        <v>-1</v>
      </c>
      <c r="G2" s="0" t="n">
        <f aca="false">MAX('Inputs 2026'!B2:E2)</f>
        <v>2.675</v>
      </c>
      <c r="H2" s="0" t="n">
        <f aca="false">COUNT('Inputs 2026'!B2:E2)</f>
        <v>2</v>
      </c>
      <c r="I2" s="0" t="n">
        <f aca="false">ROUND('Inputs 2026'!B2/7,2)</f>
        <v>0.38</v>
      </c>
      <c r="J2" s="0" t="n">
        <f aca="false">ROUND('Inputs 2026'!C2*1.005,2)</f>
        <v>0</v>
      </c>
      <c r="K2" s="0" t="n">
        <f aca="false">ROUND('Inputs 2026'!D2*1234.5678,-2)</f>
        <v>-1200</v>
      </c>
      <c r="L2" s="0" t="n">
        <f aca="false">IF('Inputs 2026'!B2&gt;'Inputs 2026'!C2,'Inputs 2026'!B2,'Inputs 2026'!C2*2)</f>
        <v>2.675</v>
      </c>
      <c r="M2" s="0" t="n">
        <f aca="false">IF('Inputs 2026'!B2='Inputs 2026'!C2,1,0)</f>
        <v>0</v>
      </c>
      <c r="N2" s="0" t="n">
        <f aca="false">IF('Inputs 2026'!D2&lt;&gt;0,'Inputs 2026'!B2/'Inputs 2026'!D2,0)</f>
        <v>-2.675</v>
      </c>
      <c r="O2" s="0" t="n">
        <f aca="false">-'Inputs 2026'!B2%*50%</f>
        <v>-0.013375</v>
      </c>
      <c r="P2" s="0" t="n">
        <f aca="false">C2*2+D2</f>
        <v>-3.675</v>
      </c>
      <c r="Q2" s="0" t="n">
        <f aca="false">SUM($C$2:C2)</f>
        <v>-2.675</v>
      </c>
      <c r="R2" s="0" t="n">
        <f aca="false">$D$2+P2</f>
        <v>-2</v>
      </c>
      <c r="S2" s="0" t="n">
        <f aca="false">COUNT(B2:Q2)</f>
        <v>16</v>
      </c>
      <c r="T2" s="0" t="n">
        <f aca="false">IF('Inputs 2026'!E2&gt;5,1,0)</f>
        <v>0</v>
      </c>
      <c r="U2" s="0" t="n">
        <f aca="false">IF('Inputs 2026'!E2='Inputs 2026'!D2,1,0)</f>
        <v>0</v>
      </c>
      <c r="V2" s="0" t="n">
        <f aca="false">IF('Inputs 2026'!E2,1,2)</f>
        <v>2</v>
      </c>
      <c r="W2" s="0" t="n">
        <f aca="false">IF('Inputs 2026'!B2&gt;0,IF('Inputs 2026'!C2&gt;0,1,2),3)</f>
        <v>2</v>
      </c>
      <c r="X2" s="0" t="n">
        <f aca="false">SUM('Inputs 2026'!E2,'Inputs 2026'!B2,5)</f>
        <v>7.675</v>
      </c>
      <c r="Y2" s="0" t="n">
        <f aca="false">MAX('Inputs 2026'!B2:C2,10)-MIN('Inputs 2026'!D2,'Inputs 2026'!E2)</f>
        <v>11</v>
      </c>
    </row>
    <row r="3" customFormat="false" ht="12.8" hidden="false" customHeight="false" outlineLevel="0" collapsed="false">
      <c r="A3" s="0" t="s">
        <v>6</v>
      </c>
      <c r="B3" s="0" t="n">
        <f aca="false">'Inputs 2026'!B3+'Inputs 2026'!C3*'Inputs 2026'!D3</f>
        <v>1234.5678</v>
      </c>
      <c r="C3" s="0" t="n">
        <f aca="false">('Inputs 2026'!B3-'Inputs 2026'!C3)/'Inputs 2026'!D3</f>
        <v>-1234.5678</v>
      </c>
      <c r="D3" s="0" t="n">
        <f aca="false">SUM('Inputs 2026'!B3:D3)</f>
        <v>1235.5678</v>
      </c>
      <c r="E3" s="0" t="n">
        <f aca="false">AVERAGE('Inputs 2026'!B3:E3)</f>
        <v>411.855933333333</v>
      </c>
      <c r="F3" s="0" t="n">
        <f aca="false">MIN('Inputs 2026'!B3:E3)</f>
        <v>0</v>
      </c>
      <c r="G3" s="0" t="n">
        <f aca="false">MAX('Inputs 2026'!B3:E3)</f>
        <v>1234.5678</v>
      </c>
      <c r="H3" s="0" t="n">
        <f aca="false">COUNT('Inputs 2026'!B3:E3)</f>
        <v>3</v>
      </c>
      <c r="I3" s="0" t="n">
        <f aca="false">ROUND('Inputs 2026'!B3/7,2)</f>
        <v>0</v>
      </c>
      <c r="J3" s="0" t="n">
        <f aca="false">ROUND('Inputs 2026'!C3*1.005,2)</f>
        <v>1240.74</v>
      </c>
      <c r="K3" s="0" t="n">
        <f aca="false">ROUND('Inputs 2026'!D3*1234.5678,-2)</f>
        <v>1200</v>
      </c>
      <c r="L3" s="0" t="n">
        <f aca="false">IF('Inputs 2026'!B3&gt;'Inputs 2026'!C3,'Inputs 2026'!B3,'Inputs 2026'!C3*2)</f>
        <v>2469.1356</v>
      </c>
      <c r="M3" s="0" t="n">
        <f aca="false">IF('Inputs 2026'!B3='Inputs 2026'!C3,1,0)</f>
        <v>0</v>
      </c>
      <c r="N3" s="0" t="n">
        <f aca="false">IF('Inputs 2026'!D3&lt;&gt;0,'Inputs 2026'!B3/'Inputs 2026'!D3,0)</f>
        <v>0</v>
      </c>
      <c r="O3" s="0" t="n">
        <f aca="false">-'Inputs 2026'!B3%*50%</f>
        <v>-0</v>
      </c>
      <c r="P3" s="0" t="n">
        <f aca="false">C3*2+D3</f>
        <v>-1233.5678</v>
      </c>
      <c r="Q3" s="0" t="n">
        <f aca="false">SUM($C$2:C3)</f>
        <v>-1237.2428</v>
      </c>
      <c r="R3" s="0" t="n">
        <f aca="false">$D$2+P3</f>
        <v>-1231.8928</v>
      </c>
      <c r="S3" s="0" t="n">
        <f aca="false">COUNT(B3:Q3)</f>
        <v>16</v>
      </c>
      <c r="T3" s="0" t="n">
        <f aca="false">IF('Inputs 2026'!E3&gt;5,1,0)</f>
        <v>0</v>
      </c>
      <c r="U3" s="0" t="n">
        <f aca="false">IF('Inputs 2026'!E3='Inputs 2026'!D3,1,0)</f>
        <v>0</v>
      </c>
      <c r="V3" s="0" t="n">
        <f aca="false">IF('Inputs 2026'!E3,1,2)</f>
        <v>2</v>
      </c>
      <c r="W3" s="0" t="n">
        <f aca="false">IF('Inputs 2026'!B3&gt;0,IF('Inputs 2026'!C3&gt;0,1,2),3)</f>
        <v>3</v>
      </c>
      <c r="X3" s="0" t="n">
        <f aca="false">SUM('Inputs 2026'!E3,'Inputs 2026'!B3,5)</f>
        <v>5</v>
      </c>
      <c r="Y3" s="0" t="n">
        <f aca="false">MAX('Inputs 2026'!B3:C3,10)-MIN('Inputs 2026'!D3,'Inputs 2026'!E3)</f>
        <v>1233.5678</v>
      </c>
    </row>
    <row r="4" customFormat="false" ht="12.8" hidden="false" customHeight="false" outlineLevel="0" collapsed="false">
      <c r="A4" s="0" t="s">
        <v>7</v>
      </c>
      <c r="B4" s="0" t="n">
        <f aca="false">'Inputs 2026'!B4+'Inputs 2026'!C4*'Inputs 2026'!D4</f>
        <v>1.005</v>
      </c>
      <c r="C4" s="0" t="e">
        <f aca="false">('Inputs 2026'!B4-'Inputs 2026'!C4)/'Inputs 2026'!D4</f>
        <v>#DIV/0!</v>
      </c>
      <c r="D4" s="0" t="n">
        <f aca="false">SUM('Inputs 2026'!B4:D4)</f>
        <v>11.005</v>
      </c>
      <c r="E4" s="0" t="n">
        <f aca="false">AVERAGE('Inputs 2026'!B4:E4)</f>
        <v>5.5025</v>
      </c>
      <c r="F4" s="0" t="n">
        <f aca="false">MIN('Inputs 2026'!B4:E4)</f>
        <v>1.005</v>
      </c>
      <c r="G4" s="0" t="n">
        <f aca="false">MAX('Inputs 2026'!B4:E4)</f>
        <v>10</v>
      </c>
      <c r="H4" s="0" t="n">
        <f aca="false">COUNT('Inputs 2026'!B4:E4)</f>
        <v>2</v>
      </c>
      <c r="I4" s="0" t="n">
        <f aca="false">ROUND('Inputs 2026'!B4/7,2)</f>
        <v>0.14</v>
      </c>
      <c r="J4" s="0" t="n">
        <f aca="false">ROUND('Inputs 2026'!C4*1.005,2)</f>
        <v>10.05</v>
      </c>
      <c r="K4" s="0" t="n">
        <f aca="false">ROUND('Inputs 2026'!D4*1234.5678,-2)</f>
        <v>0</v>
      </c>
      <c r="L4" s="0" t="n">
        <f aca="false">IF('Inputs 2026'!B4&gt;'Inputs 2026'!C4,'Inputs 2026'!B4,'Inputs 2026'!C4*2)</f>
        <v>20</v>
      </c>
      <c r="M4" s="0" t="n">
        <f aca="false">IF('Inputs 2026'!B4='Inputs 2026'!C4,1,0)</f>
        <v>0</v>
      </c>
      <c r="N4" s="0" t="n">
        <f aca="false">IF('Inputs 2026'!D4&lt;&gt;0,'Inputs 2026'!B4/'Inputs 2026'!D4,0)</f>
        <v>0</v>
      </c>
      <c r="O4" s="0" t="n">
        <f aca="false">-'Inputs 2026'!B4%*50%</f>
        <v>-0.005025</v>
      </c>
      <c r="P4" s="0" t="e">
        <f aca="false">C4*2+D4</f>
        <v>#DIV/0!</v>
      </c>
      <c r="Q4" s="0" t="e">
        <f aca="false">SUM($C$2:C4)</f>
        <v>#DIV/0!</v>
      </c>
      <c r="R4" s="0" t="e">
        <f aca="false">$D$2+P4</f>
        <v>#DIV/0!</v>
      </c>
      <c r="S4" s="0" t="n">
        <f aca="false">COUNT(B4:Q4)</f>
        <v>13</v>
      </c>
      <c r="T4" s="0" t="n">
        <f aca="false">IF('Inputs 2026'!E4&gt;5,1,0)</f>
        <v>1</v>
      </c>
      <c r="U4" s="0" t="n">
        <f aca="false">IF('Inputs 2026'!E4='Inputs 2026'!D4,1,0)</f>
        <v>0</v>
      </c>
      <c r="V4" s="0" t="e">
        <f aca="false">IF('Inputs 2026'!E4,1,2)</f>
        <v>#VALUE!</v>
      </c>
      <c r="W4" s="0" t="n">
        <f aca="false">IF('Inputs 2026'!B4&gt;0,IF('Inputs 2026'!C4&gt;0,1,2),3)</f>
        <v>1</v>
      </c>
      <c r="X4" s="0" t="n">
        <f aca="false">SUM('Inputs 2026'!E4,'Inputs 2026'!B4,5)</f>
        <v>6.005</v>
      </c>
      <c r="Y4" s="0" t="n">
        <f aca="false">MAX('Inputs 2026'!B4:C4,10)-MIN('Inputs 2026'!D4,'Inputs 2026'!E4)</f>
        <v>10</v>
      </c>
    </row>
    <row r="5" customFormat="false" ht="12.8" hidden="false" customHeight="false" outlineLevel="0" collapsed="false">
      <c r="A5" s="0" t="s">
        <v>9</v>
      </c>
      <c r="B5" s="0" t="n">
        <f aca="false">'Inputs 2026'!B5+'Inputs 2026'!C5*'Inputs 2026'!D5</f>
        <v>-294</v>
      </c>
      <c r="C5" s="0" t="e">
        <f aca="false">('Inputs 2026'!B5-'Inputs 2026'!C5)/'Inputs 2026'!D5</f>
        <v>#DIV/0!</v>
      </c>
      <c r="D5" s="0" t="n">
        <f aca="false">SUM('Inputs 2026'!B5:D5)</f>
        <v>-194</v>
      </c>
      <c r="E5" s="0" t="n">
        <f aca="false">AVERAGE('Inputs 2026'!B5:E5)</f>
        <v>-71.33</v>
      </c>
      <c r="F5" s="0" t="n">
        <f aca="false">MIN('Inputs 2026'!B5:E5)</f>
        <v>-294</v>
      </c>
      <c r="G5" s="0" t="n">
        <f aca="false">MAX('Inputs 2026'!B5:E5)</f>
        <v>100</v>
      </c>
      <c r="H5" s="0" t="n">
        <f aca="false">COUNT('Inputs 2026'!B5:E5)</f>
        <v>3</v>
      </c>
      <c r="I5" s="0" t="n">
        <f aca="false">ROUND('Inputs 2026'!B5/7,2)</f>
        <v>-42</v>
      </c>
      <c r="J5" s="0" t="n">
        <f aca="false">ROUND('Inputs 2026'!C5*1.005,2)</f>
        <v>100.5</v>
      </c>
      <c r="K5" s="0" t="n">
        <f aca="false">ROUND('Inputs 2026'!D5*1234.5678,-2)</f>
        <v>0</v>
      </c>
      <c r="L5" s="0" t="n">
        <f aca="false">IF('Inputs 2026'!B5&gt;'Inputs 2026'!C5,'Inputs 2026'!B5,'Inputs 2026'!C5*2)</f>
        <v>200</v>
      </c>
      <c r="M5" s="0" t="n">
        <f aca="false">IF('Inputs 2026'!B5='Inputs 2026'!C5,1,0)</f>
        <v>0</v>
      </c>
      <c r="N5" s="0" t="n">
        <f aca="false">IF('Inputs 2026'!D5&lt;&gt;0,'Inputs 2026'!B5/'Inputs 2026'!D5,0)</f>
        <v>0</v>
      </c>
      <c r="O5" s="0" t="n">
        <f aca="false">-'Inputs 2026'!B5%*50%</f>
        <v>1.47</v>
      </c>
      <c r="P5" s="0" t="e">
        <f aca="false">C5*2+D5</f>
        <v>#DIV/0!</v>
      </c>
      <c r="Q5" s="0" t="e">
        <f aca="false">SUM($C$2:C5)</f>
        <v>#DIV/0!</v>
      </c>
      <c r="R5" s="0" t="e">
        <f aca="false">$D$2+P5</f>
        <v>#DIV/0!</v>
      </c>
      <c r="S5" s="0" t="n">
        <f aca="false">COUNT(B5:Q5)</f>
        <v>13</v>
      </c>
      <c r="T5" s="0" t="n">
        <f aca="false">IF('Inputs 2026'!E5&gt;5,1,0)</f>
        <v>0</v>
      </c>
      <c r="U5" s="0" t="n">
        <f aca="false">IF('Inputs 2026'!E5='Inputs 2026'!D5,1,0)</f>
        <v>0</v>
      </c>
      <c r="V5" s="0" t="n">
        <f aca="false">IF('Inputs 2026'!E5,1,2)</f>
        <v>1</v>
      </c>
      <c r="W5" s="0" t="n">
        <f aca="false">IF('Inputs 2026'!B5&gt;0,IF('Inputs 2026'!C5&gt;0,1,2),3)</f>
        <v>3</v>
      </c>
      <c r="X5" s="0" t="n">
        <f aca="false">SUM('Inputs 2026'!E5,'Inputs 2026'!B5,5)</f>
        <v>-308.99</v>
      </c>
      <c r="Y5" s="0" t="n">
        <f aca="false">MAX('Inputs 2026'!B5:C5,10)-MIN('Inputs 2026'!D5,'Inputs 2026'!E5)</f>
        <v>119.99</v>
      </c>
    </row>
    <row r="6" customFormat="false" ht="12.8" hidden="false" customHeight="false" outlineLevel="0" collapsed="false">
      <c r="A6" s="0" t="s">
        <v>10</v>
      </c>
      <c r="B6" s="0" t="n">
        <f aca="false">'Inputs 2026'!B6+'Inputs 2026'!C6*'Inputs 2026'!D6</f>
        <v>0</v>
      </c>
      <c r="C6" s="0" t="e">
        <f aca="false">('Inputs 2026'!B6-'Inputs 2026'!C6)/'Inputs 2026'!D6</f>
        <v>#DIV/0!</v>
      </c>
      <c r="D6" s="0" t="n">
        <f aca="false">SUM('Inputs 2026'!B6:D6)</f>
        <v>0.25</v>
      </c>
      <c r="E6" s="0" t="n">
        <f aca="false">AVERAGE('Inputs 2026'!B6:E6)</f>
        <v>1.4625</v>
      </c>
      <c r="F6" s="0" t="n">
        <f aca="false">MIN('Inputs 2026'!B6:E6)</f>
        <v>0.25</v>
      </c>
      <c r="G6" s="0" t="n">
        <f aca="false">MAX('Inputs 2026'!B6:E6)</f>
        <v>2.675</v>
      </c>
      <c r="H6" s="0" t="n">
        <f aca="false">COUNT('Inputs 2026'!B6:E6)</f>
        <v>2</v>
      </c>
      <c r="I6" s="0" t="n">
        <f aca="false">ROUND('Inputs 2026'!B6/7,2)</f>
        <v>0</v>
      </c>
      <c r="J6" s="0" t="n">
        <f aca="false">ROUND('Inputs 2026'!C6*1.005,2)</f>
        <v>0.25</v>
      </c>
      <c r="K6" s="0" t="n">
        <f aca="false">ROUND('Inputs 2026'!D6*1234.5678,-2)</f>
        <v>0</v>
      </c>
      <c r="L6" s="0" t="n">
        <f aca="false">IF('Inputs 2026'!B6&gt;'Inputs 2026'!C6,'Inputs 2026'!B6,'Inputs 2026'!C6*2)</f>
        <v>0.5</v>
      </c>
      <c r="M6" s="0" t="n">
        <f aca="false">IF('Inputs 2026'!B6='Inputs 2026'!C6,1,0)</f>
        <v>0</v>
      </c>
      <c r="N6" s="0" t="n">
        <f aca="false">IF('Inputs 2026'!D6&lt;&gt;0,'Inputs 2026'!B6/'Inputs 2026'!D6,0)</f>
        <v>0</v>
      </c>
      <c r="O6" s="0" t="n">
        <f aca="false">-'Inputs 2026'!B6%*50%</f>
        <v>-0</v>
      </c>
      <c r="P6" s="0" t="e">
        <f aca="false">C6*2+D6</f>
        <v>#DIV/0!</v>
      </c>
      <c r="Q6" s="0" t="e">
        <f aca="false">SUM($C$2:C6)</f>
        <v>#DIV/0!</v>
      </c>
      <c r="R6" s="0" t="e">
        <f aca="false">$D$2+P6</f>
        <v>#DIV/0!</v>
      </c>
      <c r="S6" s="0" t="n">
        <f aca="false">COUNT(B6:Q6)</f>
        <v>13</v>
      </c>
      <c r="T6" s="0" t="n">
        <f aca="false">IF('Inputs 2026'!E6&gt;5,1,0)</f>
        <v>0</v>
      </c>
      <c r="U6" s="0" t="n">
        <f aca="false">IF('Inputs 2026'!E6='Inputs 2026'!D6,1,0)</f>
        <v>0</v>
      </c>
      <c r="V6" s="0" t="n">
        <f aca="false">IF('Inputs 2026'!E6,1,2)</f>
        <v>1</v>
      </c>
      <c r="W6" s="0" t="n">
        <f aca="false">IF('Inputs 2026'!B6&gt;0,IF('Inputs 2026'!C6&gt;0,1,2),3)</f>
        <v>3</v>
      </c>
      <c r="X6" s="0" t="n">
        <f aca="false">SUM('Inputs 2026'!E6,'Inputs 2026'!B6,5)</f>
        <v>7.675</v>
      </c>
      <c r="Y6" s="0" t="n">
        <f aca="false">MAX('Inputs 2026'!B6:C6,10)-MIN('Inputs 2026'!D6,'Inputs 2026'!E6)</f>
        <v>7.325</v>
      </c>
    </row>
    <row r="7" customFormat="false" ht="12.8" hidden="false" customHeight="false" outlineLevel="0" collapsed="false">
      <c r="A7" s="0" t="s">
        <v>11</v>
      </c>
      <c r="B7" s="0" t="n">
        <f aca="false">'Inputs 2026'!B7+'Inputs 2026'!C7*'Inputs 2026'!D7</f>
        <v>2.9</v>
      </c>
      <c r="C7" s="0" t="n">
        <f aca="false">('Inputs 2026'!B7-'Inputs 2026'!C7)/'Inputs 2026'!D7</f>
        <v>-2.9</v>
      </c>
      <c r="D7" s="0" t="n">
        <f aca="false">SUM('Inputs 2026'!B7:D7)</f>
        <v>2.1</v>
      </c>
      <c r="E7" s="0" t="n">
        <f aca="false">AVERAGE('Inputs 2026'!B7:E7)</f>
        <v>0.7</v>
      </c>
      <c r="F7" s="0" t="n">
        <f aca="false">MIN('Inputs 2026'!B7:E7)</f>
        <v>-1</v>
      </c>
      <c r="G7" s="0" t="n">
        <f aca="false">MAX('Inputs 2026'!B7:E7)</f>
        <v>3</v>
      </c>
      <c r="H7" s="0" t="n">
        <f aca="false">COUNT('Inputs 2026'!B7:E7)</f>
        <v>3</v>
      </c>
      <c r="I7" s="0" t="n">
        <f aca="false">ROUND('Inputs 2026'!B7/7,2)</f>
        <v>0.43</v>
      </c>
      <c r="J7" s="0" t="n">
        <f aca="false">ROUND('Inputs 2026'!C7*1.005,2)</f>
        <v>0.1</v>
      </c>
      <c r="K7" s="0" t="n">
        <f aca="false">ROUND('Inputs 2026'!D7*1234.5678,-2)</f>
        <v>-1200</v>
      </c>
      <c r="L7" s="0" t="n">
        <f aca="false">IF('Inputs 2026'!B7&gt;'Inputs 2026'!C7,'Inputs 2026'!B7,'Inputs 2026'!C7*2)</f>
        <v>3</v>
      </c>
      <c r="M7" s="0" t="n">
        <f aca="false">IF('Inputs 2026'!B7='Inputs 2026'!C7,1,0)</f>
        <v>0</v>
      </c>
      <c r="N7" s="0" t="n">
        <f aca="false">IF('Inputs 2026'!D7&lt;&gt;0,'Inputs 2026'!B7/'Inputs 2026'!D7,0)</f>
        <v>-3</v>
      </c>
      <c r="O7" s="0" t="n">
        <f aca="false">-'Inputs 2026'!B7%*50%</f>
        <v>-0.015</v>
      </c>
      <c r="P7" s="0" t="n">
        <f aca="false">C7*2+D7</f>
        <v>-3.7</v>
      </c>
      <c r="Q7" s="0" t="e">
        <f aca="false">SUM($C$2:C7)</f>
        <v>#DIV/0!</v>
      </c>
      <c r="R7" s="0" t="n">
        <f aca="false">$D$2+P7</f>
        <v>-2.025</v>
      </c>
      <c r="S7" s="0" t="n">
        <f aca="false">COUNT(B7:Q7)</f>
        <v>15</v>
      </c>
      <c r="T7" s="0" t="n">
        <f aca="false">IF('Inputs 2026'!E7&gt;5,1,0)</f>
        <v>0</v>
      </c>
      <c r="U7" s="0" t="n">
        <f aca="false">IF('Inputs 2026'!E7='Inputs 2026'!D7,1,0)</f>
        <v>0</v>
      </c>
      <c r="V7" s="0" t="n">
        <f aca="false">IF('Inputs 2026'!E7,1,2)</f>
        <v>2</v>
      </c>
      <c r="W7" s="0" t="n">
        <f aca="false">IF('Inputs 2026'!B7&gt;0,IF('Inputs 2026'!C7&gt;0,1,2),3)</f>
        <v>1</v>
      </c>
      <c r="X7" s="0" t="n">
        <f aca="false">SUM('Inputs 2026'!E7,'Inputs 2026'!B7,5)</f>
        <v>8</v>
      </c>
      <c r="Y7" s="0" t="n">
        <f aca="false">MAX('Inputs 2026'!B7:C7,10)-MIN('Inputs 2026'!D7,'Inputs 2026'!E7)</f>
        <v>11</v>
      </c>
    </row>
    <row r="8" customFormat="false" ht="12.8" hidden="false" customHeight="false" outlineLevel="0" collapsed="false">
      <c r="A8" s="0" t="s">
        <v>12</v>
      </c>
      <c r="B8" s="0" t="n">
        <f aca="false">'Inputs 2026'!B8+'Inputs 2026'!C8*'Inputs 2026'!D8</f>
        <v>-19.99</v>
      </c>
      <c r="C8" s="0" t="n">
        <f aca="false">('Inputs 2026'!B8-'Inputs 2026'!C8)/'Inputs 2026'!D8</f>
        <v>19.99</v>
      </c>
      <c r="D8" s="0" t="n">
        <f aca="false">SUM('Inputs 2026'!B8:D8)</f>
        <v>-18.99</v>
      </c>
      <c r="E8" s="0" t="n">
        <f aca="false">AVERAGE('Inputs 2026'!B8:E8)</f>
        <v>-9.495</v>
      </c>
      <c r="F8" s="0" t="n">
        <f aca="false">MIN('Inputs 2026'!B8:E8)</f>
        <v>-19.99</v>
      </c>
      <c r="G8" s="0" t="n">
        <f aca="false">MAX('Inputs 2026'!B8:E8)</f>
        <v>1</v>
      </c>
      <c r="H8" s="0" t="n">
        <f aca="false">COUNT('Inputs 2026'!B8:E8)</f>
        <v>2</v>
      </c>
      <c r="I8" s="0" t="n">
        <f aca="false">ROUND('Inputs 2026'!B8/7,2)</f>
        <v>0</v>
      </c>
      <c r="J8" s="0" t="n">
        <f aca="false">ROUND('Inputs 2026'!C8*1.005,2)</f>
        <v>-20.09</v>
      </c>
      <c r="K8" s="0" t="n">
        <f aca="false">ROUND('Inputs 2026'!D8*1234.5678,-2)</f>
        <v>1200</v>
      </c>
      <c r="L8" s="0" t="n">
        <f aca="false">IF('Inputs 2026'!B8&gt;'Inputs 2026'!C8,'Inputs 2026'!B8,'Inputs 2026'!C8*2)</f>
        <v>0</v>
      </c>
      <c r="M8" s="0" t="n">
        <f aca="false">IF('Inputs 2026'!B8='Inputs 2026'!C8,1,0)</f>
        <v>0</v>
      </c>
      <c r="N8" s="0" t="n">
        <f aca="false">IF('Inputs 2026'!D8&lt;&gt;0,'Inputs 2026'!B8/'Inputs 2026'!D8,0)</f>
        <v>0</v>
      </c>
      <c r="O8" s="0" t="n">
        <f aca="false">-'Inputs 2026'!B8%*50%</f>
        <v>-0</v>
      </c>
      <c r="P8" s="0" t="n">
        <f aca="false">C8*2+D8</f>
        <v>20.99</v>
      </c>
      <c r="Q8" s="0" t="e">
        <f aca="false">SUM($C$2:C8)</f>
        <v>#DIV/0!</v>
      </c>
      <c r="R8" s="0" t="n">
        <f aca="false">$D$2+P8</f>
        <v>22.665</v>
      </c>
      <c r="S8" s="0" t="n">
        <f aca="false">COUNT(B8:Q8)</f>
        <v>15</v>
      </c>
      <c r="T8" s="0" t="n">
        <f aca="false">IF('Inputs 2026'!E8&gt;5,1,0)</f>
        <v>1</v>
      </c>
      <c r="U8" s="0" t="n">
        <f aca="false">IF('Inputs 2026'!E8='Inputs 2026'!D8,1,0)</f>
        <v>0</v>
      </c>
      <c r="V8" s="0" t="e">
        <f aca="false">IF('Inputs 2026'!E8,1,2)</f>
        <v>#VALUE!</v>
      </c>
      <c r="W8" s="0" t="n">
        <f aca="false">IF('Inputs 2026'!B8&gt;0,IF('Inputs 2026'!C8&gt;0,1,2),3)</f>
        <v>3</v>
      </c>
      <c r="X8" s="0" t="n">
        <f aca="false">SUM('Inputs 2026'!E8,'Inputs 2026'!B8,5)</f>
        <v>5</v>
      </c>
      <c r="Y8" s="0" t="n">
        <f aca="false">MAX('Inputs 2026'!B8:C8,10)-MIN('Inputs 2026'!D8,'Inputs 2026'!E8)</f>
        <v>9</v>
      </c>
    </row>
    <row r="9" customFormat="false" ht="12.8" hidden="false" customHeight="false" outlineLevel="0" collapsed="false">
      <c r="A9" s="0" t="s">
        <v>13</v>
      </c>
      <c r="B9" s="0" t="n">
        <f aca="false">'Inputs 2026'!B9+'Inputs 2026'!C9*'Inputs 2026'!D9</f>
        <v>-39.5</v>
      </c>
      <c r="C9" s="0" t="n">
        <f aca="false">('Inputs 2026'!B9-'Inputs 2026'!C9)/'Inputs 2026'!D9</f>
        <v>2.375</v>
      </c>
      <c r="D9" s="0" t="n">
        <f aca="false">SUM('Inputs 2026'!B9:D9)</f>
        <v>6.5</v>
      </c>
      <c r="E9" s="0" t="n">
        <f aca="false">AVERAGE('Inputs 2026'!B9:E9)</f>
        <v>2.16666666666667</v>
      </c>
      <c r="F9" s="0" t="n">
        <f aca="false">MIN('Inputs 2026'!B9:E9)</f>
        <v>-4</v>
      </c>
      <c r="G9" s="0" t="n">
        <f aca="false">MAX('Inputs 2026'!B9:E9)</f>
        <v>10</v>
      </c>
      <c r="H9" s="0" t="n">
        <f aca="false">COUNT('Inputs 2026'!B9:E9)</f>
        <v>3</v>
      </c>
      <c r="I9" s="0" t="n">
        <f aca="false">ROUND('Inputs 2026'!B9/7,2)</f>
        <v>0.07</v>
      </c>
      <c r="J9" s="0" t="n">
        <f aca="false">ROUND('Inputs 2026'!C9*1.005,2)</f>
        <v>10.05</v>
      </c>
      <c r="K9" s="0" t="n">
        <f aca="false">ROUND('Inputs 2026'!D9*1234.5678,-2)</f>
        <v>-4900</v>
      </c>
      <c r="L9" s="0" t="n">
        <f aca="false">IF('Inputs 2026'!B9&gt;'Inputs 2026'!C9,'Inputs 2026'!B9,'Inputs 2026'!C9*2)</f>
        <v>20</v>
      </c>
      <c r="M9" s="0" t="n">
        <f aca="false">IF('Inputs 2026'!B9='Inputs 2026'!C9,1,0)</f>
        <v>0</v>
      </c>
      <c r="N9" s="0" t="n">
        <f aca="false">IF('Inputs 2026'!D9&lt;&gt;0,'Inputs 2026'!B9/'Inputs 2026'!D9,0)</f>
        <v>-0.125</v>
      </c>
      <c r="O9" s="0" t="n">
        <f aca="false">-'Inputs 2026'!B9%*50%</f>
        <v>-0.0025</v>
      </c>
      <c r="P9" s="0" t="n">
        <f aca="false">C9*2+D9</f>
        <v>11.25</v>
      </c>
      <c r="Q9" s="0" t="e">
        <f aca="false">SUM($C$2:C9)</f>
        <v>#DIV/0!</v>
      </c>
      <c r="R9" s="0" t="n">
        <f aca="false">$D$2+P9</f>
        <v>12.925</v>
      </c>
      <c r="S9" s="0" t="n">
        <f aca="false">COUNT(B9:Q9)</f>
        <v>15</v>
      </c>
      <c r="T9" s="0" t="n">
        <f aca="false">IF('Inputs 2026'!E9&gt;5,1,0)</f>
        <v>1</v>
      </c>
      <c r="U9" s="0" t="n">
        <f aca="false">IF('Inputs 2026'!E9='Inputs 2026'!D9,1,0)</f>
        <v>0</v>
      </c>
      <c r="V9" s="0" t="e">
        <f aca="false">IF('Inputs 2026'!E9,1,2)</f>
        <v>#VALUE!</v>
      </c>
      <c r="W9" s="0" t="n">
        <f aca="false">IF('Inputs 2026'!B9&gt;0,IF('Inputs 2026'!C9&gt;0,1,2),3)</f>
        <v>1</v>
      </c>
      <c r="X9" s="0" t="n">
        <f aca="false">SUM('Inputs 2026'!E9,'Inputs 2026'!B9,5)</f>
        <v>5.5</v>
      </c>
      <c r="Y9" s="0" t="n">
        <f aca="false">MAX('Inputs 2026'!B9:C9,10)-MIN('Inputs 2026'!D9,'Inputs 2026'!E9)</f>
        <v>14</v>
      </c>
    </row>
    <row r="10" customFormat="false" ht="12.8" hidden="false" customHeight="false" outlineLevel="0" collapsed="false">
      <c r="A10" s="0" t="s">
        <v>15</v>
      </c>
      <c r="B10" s="0" t="n">
        <f aca="false">'Inputs 2026'!B10+'Inputs 2026'!C10*'Inputs 2026'!D10</f>
        <v>-5</v>
      </c>
      <c r="C10" s="0" t="n">
        <f aca="false">('Inputs 2026'!B10-'Inputs 2026'!C10)/'Inputs 2026'!D10</f>
        <v>-3</v>
      </c>
      <c r="D10" s="0" t="n">
        <f aca="false">SUM('Inputs 2026'!B10:D10)</f>
        <v>-4</v>
      </c>
      <c r="E10" s="0" t="n">
        <f aca="false">AVERAGE('Inputs 2026'!B10:E10)</f>
        <v>-1.33333333333333</v>
      </c>
      <c r="F10" s="0" t="n">
        <f aca="false">MIN('Inputs 2026'!B10:E10)</f>
        <v>-4</v>
      </c>
      <c r="G10" s="0" t="n">
        <f aca="false">MAX('Inputs 2026'!B10:E10)</f>
        <v>1</v>
      </c>
      <c r="H10" s="0" t="n">
        <f aca="false">COUNT('Inputs 2026'!B10:E10)</f>
        <v>3</v>
      </c>
      <c r="I10" s="0" t="n">
        <f aca="false">ROUND('Inputs 2026'!B10/7,2)</f>
        <v>-0.57</v>
      </c>
      <c r="J10" s="0" t="n">
        <f aca="false">ROUND('Inputs 2026'!C10*1.005,2)</f>
        <v>-1.01</v>
      </c>
      <c r="K10" s="0" t="n">
        <f aca="false">ROUND('Inputs 2026'!D10*1234.5678,-2)</f>
        <v>1200</v>
      </c>
      <c r="L10" s="0" t="n">
        <f aca="false">IF('Inputs 2026'!B10&gt;'Inputs 2026'!C10,'Inputs 2026'!B10,'Inputs 2026'!C10*2)</f>
        <v>-2</v>
      </c>
      <c r="M10" s="0" t="n">
        <f aca="false">IF('Inputs 2026'!B10='Inputs 2026'!C10,1,0)</f>
        <v>0</v>
      </c>
      <c r="N10" s="0" t="n">
        <f aca="false">IF('Inputs 2026'!D10&lt;&gt;0,'Inputs 2026'!B10/'Inputs 2026'!D10,0)</f>
        <v>-4</v>
      </c>
      <c r="O10" s="0" t="n">
        <f aca="false">-'Inputs 2026'!B10%*50%</f>
        <v>0.02</v>
      </c>
      <c r="P10" s="0" t="n">
        <f aca="false">C10*2+D10</f>
        <v>-10</v>
      </c>
      <c r="Q10" s="0" t="e">
        <f aca="false">SUM($C$2:C10)</f>
        <v>#DIV/0!</v>
      </c>
      <c r="R10" s="0" t="n">
        <f aca="false">$D$2+P10</f>
        <v>-8.325</v>
      </c>
      <c r="S10" s="0" t="n">
        <f aca="false">COUNT(B10:Q10)</f>
        <v>15</v>
      </c>
      <c r="T10" s="0" t="n">
        <f aca="false">IF('Inputs 2026'!E10&gt;5,1,0)</f>
        <v>0</v>
      </c>
      <c r="U10" s="0" t="n">
        <f aca="false">IF('Inputs 2026'!E10='Inputs 2026'!D10,1,0)</f>
        <v>0</v>
      </c>
      <c r="V10" s="0" t="n">
        <f aca="false">IF('Inputs 2026'!E10,1,2)</f>
        <v>2</v>
      </c>
      <c r="W10" s="0" t="n">
        <f aca="false">IF('Inputs 2026'!B10&gt;0,IF('Inputs 2026'!C10&gt;0,1,2),3)</f>
        <v>3</v>
      </c>
      <c r="X10" s="0" t="n">
        <f aca="false">SUM('Inputs 2026'!E10,'Inputs 2026'!B10,5)</f>
        <v>1</v>
      </c>
      <c r="Y10" s="0" t="n">
        <f aca="false">MAX('Inputs 2026'!B10:C10,10)-MIN('Inputs 2026'!D10,'Inputs 2026'!E10)</f>
        <v>9</v>
      </c>
    </row>
    <row r="11" customFormat="false" ht="12.8" hidden="false" customHeight="false" outlineLevel="0" collapsed="false">
      <c r="A11" s="0" t="s">
        <v>16</v>
      </c>
      <c r="B11" s="0" t="n">
        <f aca="false">'Inputs 2026'!B11+'Inputs 2026'!C11*'Inputs 2026'!D11</f>
        <v>11.4</v>
      </c>
      <c r="C11" s="0" t="n">
        <f aca="false">('Inputs 2026'!B11-'Inputs 2026'!C11)/'Inputs 2026'!D11</f>
        <v>1.4</v>
      </c>
      <c r="D11" s="0" t="n">
        <f aca="false">SUM('Inputs 2026'!B11:D11)</f>
        <v>17.2</v>
      </c>
      <c r="E11" s="0" t="n">
        <f aca="false">AVERAGE('Inputs 2026'!B11:E11)</f>
        <v>5.73333333333333</v>
      </c>
      <c r="F11" s="0" t="n">
        <f aca="false">MIN('Inputs 2026'!B11:E11)</f>
        <v>0.2</v>
      </c>
      <c r="G11" s="0" t="n">
        <f aca="false">MAX('Inputs 2026'!B11:E11)</f>
        <v>10</v>
      </c>
      <c r="H11" s="0" t="n">
        <f aca="false">COUNT('Inputs 2026'!B11:E11)</f>
        <v>3</v>
      </c>
      <c r="I11" s="0" t="n">
        <f aca="false">ROUND('Inputs 2026'!B11/7,2)</f>
        <v>1.43</v>
      </c>
      <c r="J11" s="0" t="n">
        <f aca="false">ROUND('Inputs 2026'!C11*1.005,2)</f>
        <v>0.2</v>
      </c>
      <c r="K11" s="0" t="n">
        <f aca="false">ROUND('Inputs 2026'!D11*1234.5678,-2)</f>
        <v>8600</v>
      </c>
      <c r="L11" s="0" t="n">
        <f aca="false">IF('Inputs 2026'!B11&gt;'Inputs 2026'!C11,'Inputs 2026'!B11,'Inputs 2026'!C11*2)</f>
        <v>10</v>
      </c>
      <c r="M11" s="0" t="n">
        <f aca="false">IF('Inputs 2026'!B11='Inputs 2026'!C11,1,0)</f>
        <v>0</v>
      </c>
      <c r="N11" s="0" t="n">
        <f aca="false">IF('Inputs 2026'!D11&lt;&gt;0,'Inputs 2026'!B11/'Inputs 2026'!D11,0)</f>
        <v>1.42857142857143</v>
      </c>
      <c r="O11" s="0" t="n">
        <f aca="false">-'Inputs 2026'!B11%*50%</f>
        <v>-0.05</v>
      </c>
      <c r="P11" s="0" t="n">
        <f aca="false">C11*2+D11</f>
        <v>20</v>
      </c>
      <c r="Q11" s="0" t="e">
        <f aca="false">SUM($C$2:C11)</f>
        <v>#DIV/0!</v>
      </c>
      <c r="R11" s="0" t="n">
        <f aca="false">$D$2+P11</f>
        <v>21.675</v>
      </c>
      <c r="S11" s="0" t="n">
        <f aca="false">COUNT(B11:Q11)</f>
        <v>15</v>
      </c>
      <c r="T11" s="0" t="n">
        <f aca="false">IF('Inputs 2026'!E11&gt;5,1,0)</f>
        <v>0</v>
      </c>
      <c r="U11" s="0" t="n">
        <f aca="false">IF('Inputs 2026'!E11='Inputs 2026'!D11,1,0)</f>
        <v>0</v>
      </c>
      <c r="V11" s="0" t="n">
        <f aca="false">IF('Inputs 2026'!E11,1,2)</f>
        <v>2</v>
      </c>
      <c r="W11" s="0" t="n">
        <f aca="false">IF('Inputs 2026'!B11&gt;0,IF('Inputs 2026'!C11&gt;0,1,2),3)</f>
        <v>1</v>
      </c>
      <c r="X11" s="0" t="n">
        <f aca="false">SUM('Inputs 2026'!E11,'Inputs 2026'!B11,5)</f>
        <v>15</v>
      </c>
      <c r="Y11" s="0" t="n">
        <f aca="false">MAX('Inputs 2026'!B11:C11,10)-MIN('Inputs 2026'!D11,'Inputs 2026'!E11)</f>
        <v>3</v>
      </c>
    </row>
    <row r="12" customFormat="false" ht="12.8" hidden="false" customHeight="false" outlineLevel="0" collapsed="false">
      <c r="A12" s="0" t="s">
        <v>17</v>
      </c>
      <c r="B12" s="0" t="n">
        <f aca="false">'Inputs 2026'!B12+'Inputs 2026'!C12*'Inputs 2026'!D12</f>
        <v>102.5</v>
      </c>
      <c r="C12" s="0" t="n">
        <f aca="false">('Inputs 2026'!B12-'Inputs 2026'!C12)/'Inputs 2026'!D12</f>
        <v>750</v>
      </c>
      <c r="D12" s="0" t="n">
        <f aca="false">SUM('Inputs 2026'!B12:D12)</f>
        <v>125.1</v>
      </c>
      <c r="E12" s="0" t="n">
        <f aca="false">AVERAGE('Inputs 2026'!B12:E12)</f>
        <v>41.7</v>
      </c>
      <c r="F12" s="0" t="n">
        <f aca="false">MIN('Inputs 2026'!B12:E12)</f>
        <v>0.1</v>
      </c>
      <c r="G12" s="0" t="n">
        <f aca="false">MAX('Inputs 2026'!B12:E12)</f>
        <v>100</v>
      </c>
      <c r="H12" s="0" t="n">
        <f aca="false">COUNT('Inputs 2026'!B12:E12)</f>
        <v>3</v>
      </c>
      <c r="I12" s="0" t="n">
        <f aca="false">ROUND('Inputs 2026'!B12/7,2)</f>
        <v>14.29</v>
      </c>
      <c r="J12" s="0" t="n">
        <f aca="false">ROUND('Inputs 2026'!C12*1.005,2)</f>
        <v>25.13</v>
      </c>
      <c r="K12" s="0" t="n">
        <f aca="false">ROUND('Inputs 2026'!D12*1234.5678,-2)</f>
        <v>100</v>
      </c>
      <c r="L12" s="0" t="n">
        <f aca="false">IF('Inputs 2026'!B12&gt;'Inputs 2026'!C12,'Inputs 2026'!B12,'Inputs 2026'!C12*2)</f>
        <v>100</v>
      </c>
      <c r="M12" s="0" t="n">
        <f aca="false">IF('Inputs 2026'!B12='Inputs 2026'!C12,1,0)</f>
        <v>0</v>
      </c>
      <c r="N12" s="0" t="n">
        <f aca="false">IF('Inputs 2026'!D12&lt;&gt;0,'Inputs 2026'!B12/'Inputs 2026'!D12,0)</f>
        <v>1000</v>
      </c>
      <c r="O12" s="0" t="n">
        <f aca="false">-'Inputs 2026'!B12%*50%</f>
        <v>-0.5</v>
      </c>
      <c r="P12" s="0" t="n">
        <f aca="false">C12*2+D12</f>
        <v>1625.1</v>
      </c>
      <c r="Q12" s="0" t="e">
        <f aca="false">SUM($C$2:C12)</f>
        <v>#DIV/0!</v>
      </c>
      <c r="R12" s="0" t="n">
        <f aca="false">$D$2+P12</f>
        <v>1626.775</v>
      </c>
      <c r="S12" s="0" t="n">
        <f aca="false">COUNT(B12:Q12)</f>
        <v>15</v>
      </c>
      <c r="T12" s="0" t="n">
        <f aca="false">IF('Inputs 2026'!E12&gt;5,1,0)</f>
        <v>0</v>
      </c>
      <c r="U12" s="0" t="n">
        <f aca="false">IF('Inputs 2026'!E12='Inputs 2026'!D12,1,0)</f>
        <v>0</v>
      </c>
      <c r="V12" s="0" t="n">
        <f aca="false">IF('Inputs 2026'!E12,1,2)</f>
        <v>2</v>
      </c>
      <c r="W12" s="0" t="n">
        <f aca="false">IF('Inputs 2026'!B12&gt;0,IF('Inputs 2026'!C12&gt;0,1,2),3)</f>
        <v>1</v>
      </c>
      <c r="X12" s="0" t="n">
        <f aca="false">SUM('Inputs 2026'!E12,'Inputs 2026'!B12,5)</f>
        <v>105</v>
      </c>
      <c r="Y12" s="0" t="n">
        <f aca="false">MAX('Inputs 2026'!B12:C12,10)-MIN('Inputs 2026'!D12,'Inputs 2026'!E12)</f>
        <v>99.9</v>
      </c>
    </row>
    <row r="13" customFormat="false" ht="12.8" hidden="false" customHeight="false" outlineLevel="0" collapsed="false">
      <c r="A13" s="0" t="s">
        <v>18</v>
      </c>
      <c r="B13" s="0" t="n">
        <f aca="false">'Inputs 2026'!B13+'Inputs 2026'!C13*'Inputs 2026'!D13</f>
        <v>45.1</v>
      </c>
      <c r="C13" s="0" t="n">
        <f aca="false">('Inputs 2026'!B13-'Inputs 2026'!C13)/'Inputs 2026'!D13</f>
        <v>-3740</v>
      </c>
      <c r="D13" s="0" t="n">
        <f aca="false">SUM('Inputs 2026'!B13:D13)</f>
        <v>388.1</v>
      </c>
      <c r="E13" s="0" t="n">
        <f aca="false">AVERAGE('Inputs 2026'!B13:E13)</f>
        <v>129.366666666667</v>
      </c>
      <c r="F13" s="0" t="n">
        <f aca="false">MIN('Inputs 2026'!B13:E13)</f>
        <v>0.1</v>
      </c>
      <c r="G13" s="0" t="n">
        <f aca="false">MAX('Inputs 2026'!B13:E13)</f>
        <v>381</v>
      </c>
      <c r="H13" s="0" t="n">
        <f aca="false">COUNT('Inputs 2026'!B13:E13)</f>
        <v>3</v>
      </c>
      <c r="I13" s="0" t="n">
        <f aca="false">ROUND('Inputs 2026'!B13/7,2)</f>
        <v>1</v>
      </c>
      <c r="J13" s="0" t="n">
        <f aca="false">ROUND('Inputs 2026'!C13*1.005,2)</f>
        <v>382.91</v>
      </c>
      <c r="K13" s="0" t="n">
        <f aca="false">ROUND('Inputs 2026'!D13*1234.5678,-2)</f>
        <v>100</v>
      </c>
      <c r="L13" s="0" t="n">
        <f aca="false">IF('Inputs 2026'!B13&gt;'Inputs 2026'!C13,'Inputs 2026'!B13,'Inputs 2026'!C13*2)</f>
        <v>762</v>
      </c>
      <c r="M13" s="0" t="n">
        <f aca="false">IF('Inputs 2026'!B13='Inputs 2026'!C13,1,0)</f>
        <v>0</v>
      </c>
      <c r="N13" s="0" t="n">
        <f aca="false">IF('Inputs 2026'!D13&lt;&gt;0,'Inputs 2026'!B13/'Inputs 2026'!D13,0)</f>
        <v>70</v>
      </c>
      <c r="O13" s="0" t="n">
        <f aca="false">-'Inputs 2026'!B13%*50%</f>
        <v>-0.035</v>
      </c>
      <c r="P13" s="0" t="n">
        <f aca="false">C13*2+D13</f>
        <v>-7091.9</v>
      </c>
      <c r="Q13" s="0" t="e">
        <f aca="false">SUM($C$2:C13)</f>
        <v>#DIV/0!</v>
      </c>
      <c r="R13" s="0" t="n">
        <f aca="false">$D$2+P13</f>
        <v>-7090.225</v>
      </c>
      <c r="S13" s="0" t="n">
        <f aca="false">COUNT(B13:Q13)</f>
        <v>15</v>
      </c>
      <c r="T13" s="0" t="n">
        <f aca="false">IF('Inputs 2026'!E13&gt;5,1,0)</f>
        <v>0</v>
      </c>
      <c r="U13" s="0" t="n">
        <f aca="false">IF('Inputs 2026'!E13='Inputs 2026'!D13,1,0)</f>
        <v>0</v>
      </c>
      <c r="V13" s="0" t="n">
        <f aca="false">IF('Inputs 2026'!E13,1,2)</f>
        <v>2</v>
      </c>
      <c r="W13" s="0" t="n">
        <f aca="false">IF('Inputs 2026'!B13&gt;0,IF('Inputs 2026'!C13&gt;0,1,2),3)</f>
        <v>1</v>
      </c>
      <c r="X13" s="0" t="n">
        <f aca="false">SUM('Inputs 2026'!E13,'Inputs 2026'!B13,5)</f>
        <v>12</v>
      </c>
      <c r="Y13" s="0" t="n">
        <f aca="false">MAX('Inputs 2026'!B13:C13,10)-MIN('Inputs 2026'!D13,'Inputs 2026'!E13)</f>
        <v>380.9</v>
      </c>
    </row>
    <row r="14" customFormat="false" ht="12.8" hidden="false" customHeight="false" outlineLevel="0" collapsed="false">
      <c r="A14" s="0" t="s">
        <v>19</v>
      </c>
      <c r="B14" s="0" t="n">
        <f aca="false">'Inputs 2026'!B14+'Inputs 2026'!C14*'Inputs 2026'!D14</f>
        <v>9245.05</v>
      </c>
      <c r="C14" s="0" t="n">
        <f aca="false">('Inputs 2026'!B14-'Inputs 2026'!C14)/'Inputs 2026'!D14</f>
        <v>-0.0105464693665628</v>
      </c>
      <c r="D14" s="0" t="n">
        <f aca="false">SUM('Inputs 2026'!B14:D14)</f>
        <v>934.73</v>
      </c>
      <c r="E14" s="0" t="n">
        <f aca="false">AVERAGE('Inputs 2026'!B14:E14)</f>
        <v>311.576666666667</v>
      </c>
      <c r="F14" s="0" t="n">
        <f aca="false">MIN('Inputs 2026'!B14:E14)</f>
        <v>0.25</v>
      </c>
      <c r="G14" s="0" t="n">
        <f aca="false">MAX('Inputs 2026'!B14:E14)</f>
        <v>924.48</v>
      </c>
      <c r="H14" s="0" t="n">
        <f aca="false">COUNT('Inputs 2026'!B14:E14)</f>
        <v>3</v>
      </c>
      <c r="I14" s="0" t="n">
        <f aca="false">ROUND('Inputs 2026'!B14/7,2)</f>
        <v>0.04</v>
      </c>
      <c r="J14" s="0" t="n">
        <f aca="false">ROUND('Inputs 2026'!C14*1.005,2)</f>
        <v>10.05</v>
      </c>
      <c r="K14" s="0" t="n">
        <f aca="false">ROUND('Inputs 2026'!D14*1234.5678,-2)</f>
        <v>1141300</v>
      </c>
      <c r="L14" s="0" t="n">
        <f aca="false">IF('Inputs 2026'!B14&gt;'Inputs 2026'!C14,'Inputs 2026'!B14,'Inputs 2026'!C14*2)</f>
        <v>20</v>
      </c>
      <c r="M14" s="0" t="n">
        <f aca="false">IF('Inputs 2026'!B14='Inputs 2026'!C14,1,0)</f>
        <v>0</v>
      </c>
      <c r="N14" s="0" t="n">
        <f aca="false">IF('Inputs 2026'!D14&lt;&gt;0,'Inputs 2026'!B14/'Inputs 2026'!D14,0)</f>
        <v>0.000270422291450329</v>
      </c>
      <c r="O14" s="0" t="n">
        <f aca="false">-'Inputs 2026'!B14%*50%</f>
        <v>-0.00125</v>
      </c>
      <c r="P14" s="0" t="n">
        <f aca="false">C14*2+D14</f>
        <v>934.708907061267</v>
      </c>
      <c r="Q14" s="0" t="e">
        <f aca="false">SUM($C$2:C14)</f>
        <v>#DIV/0!</v>
      </c>
      <c r="R14" s="0" t="n">
        <f aca="false">$D$2+P14</f>
        <v>936.383907061267</v>
      </c>
      <c r="S14" s="0" t="n">
        <f aca="false">COUNT(B14:Q14)</f>
        <v>15</v>
      </c>
      <c r="T14" s="0" t="n">
        <f aca="false">IF('Inputs 2026'!E14&gt;5,1,0)</f>
        <v>1</v>
      </c>
      <c r="U14" s="0" t="n">
        <f aca="false">IF('Inputs 2026'!E14='Inputs 2026'!D14,1,0)</f>
        <v>0</v>
      </c>
      <c r="V14" s="0" t="e">
        <f aca="false">IF('Inputs 2026'!E14,1,2)</f>
        <v>#VALUE!</v>
      </c>
      <c r="W14" s="0" t="n">
        <f aca="false">IF('Inputs 2026'!B14&gt;0,IF('Inputs 2026'!C14&gt;0,1,2),3)</f>
        <v>1</v>
      </c>
      <c r="X14" s="0" t="n">
        <f aca="false">SUM('Inputs 2026'!E14,'Inputs 2026'!B14,5)</f>
        <v>5.25</v>
      </c>
      <c r="Y14" s="0" t="n">
        <f aca="false">MAX('Inputs 2026'!B14:C14,10)-MIN('Inputs 2026'!D14,'Inputs 2026'!E14)</f>
        <v>-914.48</v>
      </c>
    </row>
    <row r="15" customFormat="false" ht="12.8" hidden="false" customHeight="false" outlineLevel="0" collapsed="false">
      <c r="A15" s="0" t="s">
        <v>20</v>
      </c>
      <c r="B15" s="0" t="n">
        <f aca="false">'Inputs 2026'!B15+'Inputs 2026'!C15*'Inputs 2026'!D15</f>
        <v>0.25</v>
      </c>
      <c r="C15" s="0" t="e">
        <f aca="false">('Inputs 2026'!B15-'Inputs 2026'!C15)/'Inputs 2026'!D15</f>
        <v>#DIV/0!</v>
      </c>
      <c r="D15" s="0" t="n">
        <f aca="false">SUM('Inputs 2026'!B15:D15)</f>
        <v>0.25</v>
      </c>
      <c r="E15" s="0" t="n">
        <f aca="false">AVERAGE('Inputs 2026'!B15:E15)</f>
        <v>0.25</v>
      </c>
      <c r="F15" s="0" t="n">
        <f aca="false">MIN('Inputs 2026'!B15:E15)</f>
        <v>0.25</v>
      </c>
      <c r="G15" s="0" t="n">
        <f aca="false">MAX('Inputs 2026'!B15:E15)</f>
        <v>0.25</v>
      </c>
      <c r="H15" s="0" t="n">
        <f aca="false">COUNT('Inputs 2026'!B15:E15)</f>
        <v>1</v>
      </c>
      <c r="I15" s="0" t="n">
        <f aca="false">ROUND('Inputs 2026'!B15/7,2)</f>
        <v>0.04</v>
      </c>
      <c r="J15" s="0" t="n">
        <f aca="false">ROUND('Inputs 2026'!C15*1.005,2)</f>
        <v>0</v>
      </c>
      <c r="K15" s="0" t="n">
        <f aca="false">ROUND('Inputs 2026'!D15*1234.5678,-2)</f>
        <v>0</v>
      </c>
      <c r="L15" s="0" t="n">
        <f aca="false">IF('Inputs 2026'!B15&gt;'Inputs 2026'!C15,'Inputs 2026'!B15,'Inputs 2026'!C15*2)</f>
        <v>0.25</v>
      </c>
      <c r="M15" s="0" t="n">
        <f aca="false">IF('Inputs 2026'!B15='Inputs 2026'!C15,1,0)</f>
        <v>0</v>
      </c>
      <c r="N15" s="0" t="n">
        <f aca="false">IF('Inputs 2026'!D15&lt;&gt;0,'Inputs 2026'!B15/'Inputs 2026'!D15,0)</f>
        <v>0</v>
      </c>
      <c r="O15" s="0" t="n">
        <f aca="false">-'Inputs 2026'!B15%*50%</f>
        <v>-0.00125</v>
      </c>
      <c r="P15" s="0" t="e">
        <f aca="false">C15*2+D15</f>
        <v>#DIV/0!</v>
      </c>
      <c r="Q15" s="0" t="e">
        <f aca="false">SUM($C$2:C15)</f>
        <v>#DIV/0!</v>
      </c>
      <c r="R15" s="0" t="e">
        <f aca="false">$D$2+P15</f>
        <v>#DIV/0!</v>
      </c>
      <c r="S15" s="0" t="n">
        <f aca="false">COUNT(B15:Q15)</f>
        <v>13</v>
      </c>
      <c r="T15" s="0" t="n">
        <f aca="false">IF('Inputs 2026'!E15&gt;5,1,0)</f>
        <v>0</v>
      </c>
      <c r="U15" s="0" t="n">
        <f aca="false">IF('Inputs 2026'!E15='Inputs 2026'!D15,1,0)</f>
        <v>1</v>
      </c>
      <c r="V15" s="0" t="n">
        <f aca="false">IF('Inputs 2026'!E15,1,2)</f>
        <v>2</v>
      </c>
      <c r="W15" s="0" t="n">
        <f aca="false">IF('Inputs 2026'!B15&gt;0,IF('Inputs 2026'!C15&gt;0,1,2),3)</f>
        <v>2</v>
      </c>
      <c r="X15" s="0" t="n">
        <f aca="false">SUM('Inputs 2026'!E15,'Inputs 2026'!B15,5)</f>
        <v>5.25</v>
      </c>
      <c r="Y15" s="0" t="n">
        <f aca="false">MAX('Inputs 2026'!B15:C15,10)-MIN('Inputs 2026'!D15,'Inputs 2026'!E15)</f>
        <v>10</v>
      </c>
    </row>
    <row r="16" customFormat="false" ht="12.8" hidden="false" customHeight="false" outlineLevel="0" collapsed="false">
      <c r="A16" s="0" t="s">
        <v>21</v>
      </c>
      <c r="B16" s="0" t="n">
        <f aca="false">'Inputs 2026'!B16+'Inputs 2026'!C16*'Inputs 2026'!D16</f>
        <v>-2.995</v>
      </c>
      <c r="C16" s="0" t="n">
        <f aca="false">('Inputs 2026'!B16-'Inputs 2026'!C16)/'Inputs 2026'!D16</f>
        <v>-5.005</v>
      </c>
      <c r="D16" s="0" t="n">
        <f aca="false">SUM('Inputs 2026'!B16:D16)</f>
        <v>-1.995</v>
      </c>
      <c r="E16" s="0" t="n">
        <f aca="false">AVERAGE('Inputs 2026'!B16:E16)</f>
        <v>-0.43625</v>
      </c>
      <c r="F16" s="0" t="n">
        <f aca="false">MIN('Inputs 2026'!B16:E16)</f>
        <v>-4</v>
      </c>
      <c r="G16" s="0" t="n">
        <f aca="false">MAX('Inputs 2026'!B16:E16)</f>
        <v>1.005</v>
      </c>
      <c r="H16" s="0" t="n">
        <f aca="false">COUNT('Inputs 2026'!B16:E16)</f>
        <v>4</v>
      </c>
      <c r="I16" s="0" t="n">
        <f aca="false">ROUND('Inputs 2026'!B16/7,2)</f>
        <v>-0.57</v>
      </c>
      <c r="J16" s="0" t="n">
        <f aca="false">ROUND('Inputs 2026'!C16*1.005,2)</f>
        <v>1.01</v>
      </c>
      <c r="K16" s="0" t="n">
        <f aca="false">ROUND('Inputs 2026'!D16*1234.5678,-2)</f>
        <v>1200</v>
      </c>
      <c r="L16" s="0" t="n">
        <f aca="false">IF('Inputs 2026'!B16&gt;'Inputs 2026'!C16,'Inputs 2026'!B16,'Inputs 2026'!C16*2)</f>
        <v>2.01</v>
      </c>
      <c r="M16" s="0" t="n">
        <f aca="false">IF('Inputs 2026'!B16='Inputs 2026'!C16,1,0)</f>
        <v>0</v>
      </c>
      <c r="N16" s="0" t="n">
        <f aca="false">IF('Inputs 2026'!D16&lt;&gt;0,'Inputs 2026'!B16/'Inputs 2026'!D16,0)</f>
        <v>-4</v>
      </c>
      <c r="O16" s="0" t="n">
        <f aca="false">-'Inputs 2026'!B16%*50%</f>
        <v>0.02</v>
      </c>
      <c r="P16" s="0" t="n">
        <f aca="false">C16*2+D16</f>
        <v>-12.005</v>
      </c>
      <c r="Q16" s="0" t="e">
        <f aca="false">SUM($C$2:C16)</f>
        <v>#DIV/0!</v>
      </c>
      <c r="R16" s="0" t="n">
        <f aca="false">$D$2+P16</f>
        <v>-10.33</v>
      </c>
      <c r="S16" s="0" t="n">
        <f aca="false">COUNT(B16:Q16)</f>
        <v>15</v>
      </c>
      <c r="T16" s="0" t="n">
        <f aca="false">IF('Inputs 2026'!E16&gt;5,1,0)</f>
        <v>0</v>
      </c>
      <c r="U16" s="0" t="n">
        <f aca="false">IF('Inputs 2026'!E16='Inputs 2026'!D16,1,0)</f>
        <v>0</v>
      </c>
      <c r="V16" s="0" t="n">
        <f aca="false">IF('Inputs 2026'!E16,1,2)</f>
        <v>1</v>
      </c>
      <c r="W16" s="0" t="n">
        <f aca="false">IF('Inputs 2026'!B16&gt;0,IF('Inputs 2026'!C16&gt;0,1,2),3)</f>
        <v>3</v>
      </c>
      <c r="X16" s="0" t="n">
        <f aca="false">SUM('Inputs 2026'!E16,'Inputs 2026'!B16,5)</f>
        <v>1.25</v>
      </c>
      <c r="Y16" s="0" t="n">
        <f aca="false">MAX('Inputs 2026'!B16:C16,10)-MIN('Inputs 2026'!D16,'Inputs 2026'!E16)</f>
        <v>9.75</v>
      </c>
    </row>
    <row r="17" customFormat="false" ht="12.8" hidden="false" customHeight="false" outlineLevel="0" collapsed="false">
      <c r="A17" s="0" t="s">
        <v>22</v>
      </c>
      <c r="B17" s="0" t="n">
        <f aca="false">'Inputs 2026'!B17+'Inputs 2026'!C17*'Inputs 2026'!D17</f>
        <v>-419.99</v>
      </c>
      <c r="C17" s="0" t="n">
        <f aca="false">('Inputs 2026'!B17-'Inputs 2026'!C17)/'Inputs 2026'!D17</f>
        <v>-0.1599</v>
      </c>
      <c r="D17" s="0" t="n">
        <f aca="false">SUM('Inputs 2026'!B17:D17)</f>
        <v>76.01</v>
      </c>
      <c r="E17" s="0" t="n">
        <f aca="false">AVERAGE('Inputs 2026'!B17:E17)</f>
        <v>25.3366666666667</v>
      </c>
      <c r="F17" s="0" t="n">
        <f aca="false">MIN('Inputs 2026'!B17:E17)</f>
        <v>-19.99</v>
      </c>
      <c r="G17" s="0" t="n">
        <f aca="false">MAX('Inputs 2026'!B17:E17)</f>
        <v>100</v>
      </c>
      <c r="H17" s="0" t="n">
        <f aca="false">COUNT('Inputs 2026'!B17:E17)</f>
        <v>3</v>
      </c>
      <c r="I17" s="0" t="n">
        <f aca="false">ROUND('Inputs 2026'!B17/7,2)</f>
        <v>-2.86</v>
      </c>
      <c r="J17" s="0" t="n">
        <f aca="false">ROUND('Inputs 2026'!C17*1.005,2)</f>
        <v>-4.02</v>
      </c>
      <c r="K17" s="0" t="n">
        <f aca="false">ROUND('Inputs 2026'!D17*1234.5678,-2)</f>
        <v>123500</v>
      </c>
      <c r="L17" s="0" t="n">
        <f aca="false">IF('Inputs 2026'!B17&gt;'Inputs 2026'!C17,'Inputs 2026'!B17,'Inputs 2026'!C17*2)</f>
        <v>-8</v>
      </c>
      <c r="M17" s="0" t="n">
        <f aca="false">IF('Inputs 2026'!B17='Inputs 2026'!C17,1,0)</f>
        <v>0</v>
      </c>
      <c r="N17" s="0" t="n">
        <f aca="false">IF('Inputs 2026'!D17&lt;&gt;0,'Inputs 2026'!B17/'Inputs 2026'!D17,0)</f>
        <v>-0.1999</v>
      </c>
      <c r="O17" s="0" t="n">
        <f aca="false">-'Inputs 2026'!B17%*50%</f>
        <v>0.09995</v>
      </c>
      <c r="P17" s="0" t="n">
        <f aca="false">C17*2+D17</f>
        <v>75.6902</v>
      </c>
      <c r="Q17" s="0" t="e">
        <f aca="false">SUM($C$2:C17)</f>
        <v>#DIV/0!</v>
      </c>
      <c r="R17" s="0" t="n">
        <f aca="false">$D$2+P17</f>
        <v>77.3652</v>
      </c>
      <c r="S17" s="0" t="n">
        <f aca="false">COUNT(B17:Q17)</f>
        <v>15</v>
      </c>
      <c r="T17" s="0" t="n">
        <f aca="false">IF('Inputs 2026'!E17&gt;5,1,0)</f>
        <v>0</v>
      </c>
      <c r="U17" s="0" t="n">
        <f aca="false">IF('Inputs 2026'!E17='Inputs 2026'!D17,1,0)</f>
        <v>0</v>
      </c>
      <c r="V17" s="0" t="n">
        <f aca="false">IF('Inputs 2026'!E17,1,2)</f>
        <v>2</v>
      </c>
      <c r="W17" s="0" t="n">
        <f aca="false">IF('Inputs 2026'!B17&gt;0,IF('Inputs 2026'!C17&gt;0,1,2),3)</f>
        <v>3</v>
      </c>
      <c r="X17" s="0" t="n">
        <f aca="false">SUM('Inputs 2026'!E17,'Inputs 2026'!B17,5)</f>
        <v>-14.99</v>
      </c>
      <c r="Y17" s="0" t="n">
        <f aca="false">MAX('Inputs 2026'!B17:C17,10)-MIN('Inputs 2026'!D17,'Inputs 2026'!E17)</f>
        <v>-90</v>
      </c>
    </row>
    <row r="18" customFormat="false" ht="12.8" hidden="false" customHeight="false" outlineLevel="0" collapsed="false">
      <c r="A18" s="0" t="s">
        <v>23</v>
      </c>
      <c r="B18" s="0" t="n">
        <f aca="false">'Inputs 2026'!B18+'Inputs 2026'!C18*'Inputs 2026'!D18</f>
        <v>1244.5678</v>
      </c>
      <c r="C18" s="0" t="n">
        <f aca="false">('Inputs 2026'!B18-'Inputs 2026'!C18)/'Inputs 2026'!D18</f>
        <v>0.00729000059778005</v>
      </c>
      <c r="D18" s="0" t="n">
        <f aca="false">SUM('Inputs 2026'!B18:D18)</f>
        <v>1245.5678</v>
      </c>
      <c r="E18" s="0" t="n">
        <f aca="false">AVERAGE('Inputs 2026'!B18:E18)</f>
        <v>311.45445</v>
      </c>
      <c r="F18" s="0" t="n">
        <f aca="false">MIN('Inputs 2026'!B18:E18)</f>
        <v>0.25</v>
      </c>
      <c r="G18" s="0" t="n">
        <f aca="false">MAX('Inputs 2026'!B18:E18)</f>
        <v>1234.5678</v>
      </c>
      <c r="H18" s="0" t="n">
        <f aca="false">COUNT('Inputs 2026'!B18:E18)</f>
        <v>4</v>
      </c>
      <c r="I18" s="0" t="n">
        <f aca="false">ROUND('Inputs 2026'!B18/7,2)</f>
        <v>1.43</v>
      </c>
      <c r="J18" s="0" t="n">
        <f aca="false">ROUND('Inputs 2026'!C18*1.005,2)</f>
        <v>1.01</v>
      </c>
      <c r="K18" s="0" t="n">
        <f aca="false">ROUND('Inputs 2026'!D18*1234.5678,-2)</f>
        <v>1524200</v>
      </c>
      <c r="L18" s="0" t="n">
        <f aca="false">IF('Inputs 2026'!B18&gt;'Inputs 2026'!C18,'Inputs 2026'!B18,'Inputs 2026'!C18*2)</f>
        <v>10</v>
      </c>
      <c r="M18" s="0" t="n">
        <f aca="false">IF('Inputs 2026'!B18='Inputs 2026'!C18,1,0)</f>
        <v>0</v>
      </c>
      <c r="N18" s="0" t="n">
        <f aca="false">IF('Inputs 2026'!D18&lt;&gt;0,'Inputs 2026'!B18/'Inputs 2026'!D18,0)</f>
        <v>0.00810000066420005</v>
      </c>
      <c r="O18" s="0" t="n">
        <f aca="false">-'Inputs 2026'!B18%*50%</f>
        <v>-0.05</v>
      </c>
      <c r="P18" s="0" t="n">
        <f aca="false">C18*2+D18</f>
        <v>1245.5823800012</v>
      </c>
      <c r="Q18" s="0" t="e">
        <f aca="false">SUM($C$2:C18)</f>
        <v>#DIV/0!</v>
      </c>
      <c r="R18" s="0" t="n">
        <f aca="false">$D$2+P18</f>
        <v>1247.2573800012</v>
      </c>
      <c r="S18" s="0" t="n">
        <f aca="false">COUNT(B18:Q18)</f>
        <v>15</v>
      </c>
      <c r="T18" s="0" t="n">
        <f aca="false">IF('Inputs 2026'!E18&gt;5,1,0)</f>
        <v>0</v>
      </c>
      <c r="U18" s="0" t="n">
        <f aca="false">IF('Inputs 2026'!E18='Inputs 2026'!D18,1,0)</f>
        <v>0</v>
      </c>
      <c r="V18" s="0" t="n">
        <f aca="false">IF('Inputs 2026'!E18,1,2)</f>
        <v>1</v>
      </c>
      <c r="W18" s="0" t="n">
        <f aca="false">IF('Inputs 2026'!B18&gt;0,IF('Inputs 2026'!C18&gt;0,1,2),3)</f>
        <v>1</v>
      </c>
      <c r="X18" s="0" t="n">
        <f aca="false">SUM('Inputs 2026'!E18,'Inputs 2026'!B18,5)</f>
        <v>15.25</v>
      </c>
      <c r="Y18" s="0" t="n">
        <f aca="false">MAX('Inputs 2026'!B18:C18,10)-MIN('Inputs 2026'!D18,'Inputs 2026'!E18)</f>
        <v>9.75</v>
      </c>
    </row>
    <row r="19" customFormat="false" ht="12.8" hidden="false" customHeight="false" outlineLevel="0" collapsed="false">
      <c r="A19" s="0" t="s">
        <v>24</v>
      </c>
      <c r="B19" s="0" t="n">
        <f aca="false">'Inputs 2026'!B19+'Inputs 2026'!C19*'Inputs 2026'!D19</f>
        <v>2.675</v>
      </c>
      <c r="C19" s="0" t="e">
        <f aca="false">('Inputs 2026'!B19-'Inputs 2026'!C19)/'Inputs 2026'!D19</f>
        <v>#DIV/0!</v>
      </c>
      <c r="D19" s="0" t="n">
        <f aca="false">SUM('Inputs 2026'!B19:D19)</f>
        <v>1.675</v>
      </c>
      <c r="E19" s="0" t="n">
        <f aca="false">AVERAGE('Inputs 2026'!B19:E19)</f>
        <v>0.558333333333333</v>
      </c>
      <c r="F19" s="0" t="n">
        <f aca="false">MIN('Inputs 2026'!B19:E19)</f>
        <v>-1</v>
      </c>
      <c r="G19" s="0" t="n">
        <f aca="false">MAX('Inputs 2026'!B19:E19)</f>
        <v>2.675</v>
      </c>
      <c r="H19" s="0" t="n">
        <f aca="false">COUNT('Inputs 2026'!B19:E19)</f>
        <v>3</v>
      </c>
      <c r="I19" s="0" t="n">
        <f aca="false">ROUND('Inputs 2026'!B19/7,2)</f>
        <v>0.38</v>
      </c>
      <c r="J19" s="0" t="n">
        <f aca="false">ROUND('Inputs 2026'!C19*1.005,2)</f>
        <v>-1.01</v>
      </c>
      <c r="K19" s="0" t="n">
        <f aca="false">ROUND('Inputs 2026'!D19*1234.5678,-2)</f>
        <v>0</v>
      </c>
      <c r="L19" s="0" t="n">
        <f aca="false">IF('Inputs 2026'!B19&gt;'Inputs 2026'!C19,'Inputs 2026'!B19,'Inputs 2026'!C19*2)</f>
        <v>2.675</v>
      </c>
      <c r="M19" s="0" t="n">
        <f aca="false">IF('Inputs 2026'!B19='Inputs 2026'!C19,1,0)</f>
        <v>0</v>
      </c>
      <c r="N19" s="0" t="n">
        <f aca="false">IF('Inputs 2026'!D19&lt;&gt;0,'Inputs 2026'!B19/'Inputs 2026'!D19,0)</f>
        <v>0</v>
      </c>
      <c r="O19" s="0" t="n">
        <f aca="false">-'Inputs 2026'!B19%*50%</f>
        <v>-0.013375</v>
      </c>
      <c r="P19" s="0" t="e">
        <f aca="false">C19*2+D19</f>
        <v>#DIV/0!</v>
      </c>
      <c r="Q19" s="0" t="e">
        <f aca="false">SUM($C$2:C19)</f>
        <v>#DIV/0!</v>
      </c>
      <c r="R19" s="0" t="e">
        <f aca="false">$D$2+P19</f>
        <v>#DIV/0!</v>
      </c>
      <c r="S19" s="0" t="n">
        <f aca="false">COUNT(B19:Q19)</f>
        <v>13</v>
      </c>
      <c r="T19" s="0" t="n">
        <f aca="false">IF('Inputs 2026'!E19&gt;5,1,0)</f>
        <v>1</v>
      </c>
      <c r="U19" s="0" t="n">
        <f aca="false">IF('Inputs 2026'!E19='Inputs 2026'!D19,1,0)</f>
        <v>0</v>
      </c>
      <c r="V19" s="0" t="e">
        <f aca="false">IF('Inputs 2026'!E19,1,2)</f>
        <v>#VALUE!</v>
      </c>
      <c r="W19" s="0" t="n">
        <f aca="false">IF('Inputs 2026'!B19&gt;0,IF('Inputs 2026'!C19&gt;0,1,2),3)</f>
        <v>2</v>
      </c>
      <c r="X19" s="0" t="n">
        <f aca="false">SUM('Inputs 2026'!E19,'Inputs 2026'!B19,5)</f>
        <v>7.675</v>
      </c>
      <c r="Y19" s="0" t="n">
        <f aca="false">MAX('Inputs 2026'!B19:C19,10)-MIN('Inputs 2026'!D19,'Inputs 2026'!E19)</f>
        <v>10</v>
      </c>
    </row>
    <row r="20" customFormat="false" ht="12.8" hidden="false" customHeight="false" outlineLevel="0" collapsed="false">
      <c r="A20" s="0" t="s">
        <v>25</v>
      </c>
      <c r="B20" s="0" t="n">
        <f aca="false">'Inputs 2026'!B20+'Inputs 2026'!C20*'Inputs 2026'!D20</f>
        <v>2496</v>
      </c>
      <c r="C20" s="0" t="n">
        <f aca="false">('Inputs 2026'!B20-'Inputs 2026'!C20)/'Inputs 2026'!D20</f>
        <v>-4.16</v>
      </c>
      <c r="D20" s="0" t="n">
        <f aca="false">SUM('Inputs 2026'!B20:D20)</f>
        <v>121</v>
      </c>
      <c r="E20" s="0" t="n">
        <f aca="false">AVERAGE('Inputs 2026'!B20:E20)</f>
        <v>40.3333333333333</v>
      </c>
      <c r="F20" s="0" t="n">
        <f aca="false">MIN('Inputs 2026'!B20:E20)</f>
        <v>-4</v>
      </c>
      <c r="G20" s="0" t="n">
        <f aca="false">MAX('Inputs 2026'!B20:E20)</f>
        <v>100</v>
      </c>
      <c r="H20" s="0" t="n">
        <f aca="false">COUNT('Inputs 2026'!B20:E20)</f>
        <v>3</v>
      </c>
      <c r="I20" s="0" t="n">
        <f aca="false">ROUND('Inputs 2026'!B20/7,2)</f>
        <v>-0.57</v>
      </c>
      <c r="J20" s="0" t="n">
        <f aca="false">ROUND('Inputs 2026'!C20*1.005,2)</f>
        <v>100.5</v>
      </c>
      <c r="K20" s="0" t="n">
        <f aca="false">ROUND('Inputs 2026'!D20*1234.5678,-2)</f>
        <v>30900</v>
      </c>
      <c r="L20" s="0" t="n">
        <f aca="false">IF('Inputs 2026'!B20&gt;'Inputs 2026'!C20,'Inputs 2026'!B20,'Inputs 2026'!C20*2)</f>
        <v>200</v>
      </c>
      <c r="M20" s="0" t="n">
        <f aca="false">IF('Inputs 2026'!B20='Inputs 2026'!C20,1,0)</f>
        <v>0</v>
      </c>
      <c r="N20" s="0" t="n">
        <f aca="false">IF('Inputs 2026'!D20&lt;&gt;0,'Inputs 2026'!B20/'Inputs 2026'!D20,0)</f>
        <v>-0.16</v>
      </c>
      <c r="O20" s="0" t="n">
        <f aca="false">-'Inputs 2026'!B20%*50%</f>
        <v>0.02</v>
      </c>
      <c r="P20" s="0" t="n">
        <f aca="false">C20*2+D20</f>
        <v>112.68</v>
      </c>
      <c r="Q20" s="0" t="e">
        <f aca="false">SUM($C$2:C20)</f>
        <v>#DIV/0!</v>
      </c>
      <c r="R20" s="0" t="n">
        <f aca="false">$D$2+P20</f>
        <v>114.355</v>
      </c>
      <c r="S20" s="0" t="n">
        <f aca="false">COUNT(B20:Q20)</f>
        <v>15</v>
      </c>
      <c r="T20" s="0" t="n">
        <f aca="false">IF('Inputs 2026'!E20&gt;5,1,0)</f>
        <v>0</v>
      </c>
      <c r="U20" s="0" t="n">
        <f aca="false">IF('Inputs 2026'!E20='Inputs 2026'!D20,1,0)</f>
        <v>0</v>
      </c>
      <c r="V20" s="0" t="n">
        <f aca="false">IF('Inputs 2026'!E20,1,2)</f>
        <v>2</v>
      </c>
      <c r="W20" s="0" t="n">
        <f aca="false">IF('Inputs 2026'!B20&gt;0,IF('Inputs 2026'!C20&gt;0,1,2),3)</f>
        <v>3</v>
      </c>
      <c r="X20" s="0" t="n">
        <f aca="false">SUM('Inputs 2026'!E20,'Inputs 2026'!B20,5)</f>
        <v>1</v>
      </c>
      <c r="Y20" s="0" t="n">
        <f aca="false">MAX('Inputs 2026'!B20:C20,10)-MIN('Inputs 2026'!D20,'Inputs 2026'!E20)</f>
        <v>75</v>
      </c>
    </row>
    <row r="21" customFormat="false" ht="12.8" hidden="false" customHeight="false" outlineLevel="0" collapsed="false">
      <c r="A21" s="0" t="s">
        <v>26</v>
      </c>
      <c r="B21" s="0" t="n">
        <f aca="false">'Inputs 2026'!B21+'Inputs 2026'!C21*'Inputs 2026'!D21</f>
        <v>-1998</v>
      </c>
      <c r="C21" s="0" t="n">
        <f aca="false">('Inputs 2026'!B21-'Inputs 2026'!C21)/'Inputs 2026'!D21</f>
        <v>0.2099</v>
      </c>
      <c r="D21" s="0" t="n">
        <f aca="false">SUM('Inputs 2026'!B21:D21)</f>
        <v>81.01</v>
      </c>
      <c r="E21" s="0" t="n">
        <f aca="false">AVERAGE('Inputs 2026'!B21:E21)</f>
        <v>27.0033333333333</v>
      </c>
      <c r="F21" s="0" t="n">
        <f aca="false">MIN('Inputs 2026'!B21:E21)</f>
        <v>-19.99</v>
      </c>
      <c r="G21" s="0" t="n">
        <f aca="false">MAX('Inputs 2026'!B21:E21)</f>
        <v>100</v>
      </c>
      <c r="H21" s="0" t="n">
        <f aca="false">COUNT('Inputs 2026'!B21:E21)</f>
        <v>3</v>
      </c>
      <c r="I21" s="0" t="n">
        <f aca="false">ROUND('Inputs 2026'!B21/7,2)</f>
        <v>0.14</v>
      </c>
      <c r="J21" s="0" t="n">
        <f aca="false">ROUND('Inputs 2026'!C21*1.005,2)</f>
        <v>-20.09</v>
      </c>
      <c r="K21" s="0" t="n">
        <f aca="false">ROUND('Inputs 2026'!D21*1234.5678,-2)</f>
        <v>123500</v>
      </c>
      <c r="L21" s="0" t="n">
        <f aca="false">IF('Inputs 2026'!B21&gt;'Inputs 2026'!C21,'Inputs 2026'!B21,'Inputs 2026'!C21*2)</f>
        <v>1</v>
      </c>
      <c r="M21" s="0" t="n">
        <f aca="false">IF('Inputs 2026'!B21='Inputs 2026'!C21,1,0)</f>
        <v>0</v>
      </c>
      <c r="N21" s="0" t="n">
        <f aca="false">IF('Inputs 2026'!D21&lt;&gt;0,'Inputs 2026'!B21/'Inputs 2026'!D21,0)</f>
        <v>0.01</v>
      </c>
      <c r="O21" s="0" t="n">
        <f aca="false">-'Inputs 2026'!B21%*50%</f>
        <v>-0.005</v>
      </c>
      <c r="P21" s="0" t="n">
        <f aca="false">C21*2+D21</f>
        <v>81.4298</v>
      </c>
      <c r="Q21" s="0" t="e">
        <f aca="false">SUM($C$2:C21)</f>
        <v>#DIV/0!</v>
      </c>
      <c r="R21" s="0" t="n">
        <f aca="false">$D$2+P21</f>
        <v>83.1048</v>
      </c>
      <c r="S21" s="0" t="n">
        <f aca="false">COUNT(B21:Q21)</f>
        <v>15</v>
      </c>
      <c r="T21" s="0" t="n">
        <f aca="false">IF('Inputs 2026'!E21&gt;5,1,0)</f>
        <v>0</v>
      </c>
      <c r="U21" s="0" t="n">
        <f aca="false">IF('Inputs 2026'!E21='Inputs 2026'!D21,1,0)</f>
        <v>0</v>
      </c>
      <c r="V21" s="0" t="n">
        <f aca="false">IF('Inputs 2026'!E21,1,2)</f>
        <v>2</v>
      </c>
      <c r="W21" s="0" t="n">
        <f aca="false">IF('Inputs 2026'!B21&gt;0,IF('Inputs 2026'!C21&gt;0,1,2),3)</f>
        <v>2</v>
      </c>
      <c r="X21" s="0" t="n">
        <f aca="false">SUM('Inputs 2026'!E21,'Inputs 2026'!B21,5)</f>
        <v>6</v>
      </c>
      <c r="Y21" s="0" t="n">
        <f aca="false">MAX('Inputs 2026'!B21:C21,10)-MIN('Inputs 2026'!D21,'Inputs 2026'!E21)</f>
        <v>-90</v>
      </c>
    </row>
    <row r="22" customFormat="false" ht="12.8" hidden="false" customHeight="false" outlineLevel="0" collapsed="false">
      <c r="A22" s="0" t="s">
        <v>27</v>
      </c>
      <c r="B22" s="0" t="n">
        <f aca="false">'Inputs 2026'!B22+'Inputs 2026'!C22*'Inputs 2026'!D22</f>
        <v>0</v>
      </c>
      <c r="C22" s="0" t="e">
        <f aca="false">('Inputs 2026'!B22-'Inputs 2026'!C22)/'Inputs 2026'!D22</f>
        <v>#DIV/0!</v>
      </c>
      <c r="D22" s="0" t="n">
        <f aca="false">SUM('Inputs 2026'!B22:D22)</f>
        <v>25</v>
      </c>
      <c r="E22" s="0" t="n">
        <f aca="false">AVERAGE('Inputs 2026'!B22:E22)</f>
        <v>6.91875</v>
      </c>
      <c r="F22" s="0" t="n">
        <f aca="false">MIN('Inputs 2026'!B22:E22)</f>
        <v>0</v>
      </c>
      <c r="G22" s="0" t="n">
        <f aca="false">MAX('Inputs 2026'!B22:E22)</f>
        <v>25</v>
      </c>
      <c r="H22" s="0" t="n">
        <f aca="false">COUNT('Inputs 2026'!B22:E22)</f>
        <v>4</v>
      </c>
      <c r="I22" s="0" t="n">
        <f aca="false">ROUND('Inputs 2026'!B22/7,2)</f>
        <v>0</v>
      </c>
      <c r="J22" s="0" t="n">
        <f aca="false">ROUND('Inputs 2026'!C22*1.005,2)</f>
        <v>25.13</v>
      </c>
      <c r="K22" s="0" t="n">
        <f aca="false">ROUND('Inputs 2026'!D22*1234.5678,-2)</f>
        <v>0</v>
      </c>
      <c r="L22" s="0" t="n">
        <f aca="false">IF('Inputs 2026'!B22&gt;'Inputs 2026'!C22,'Inputs 2026'!B22,'Inputs 2026'!C22*2)</f>
        <v>50</v>
      </c>
      <c r="M22" s="0" t="n">
        <f aca="false">IF('Inputs 2026'!B22='Inputs 2026'!C22,1,0)</f>
        <v>0</v>
      </c>
      <c r="N22" s="0" t="n">
        <f aca="false">IF('Inputs 2026'!D22&lt;&gt;0,'Inputs 2026'!B22/'Inputs 2026'!D22,0)</f>
        <v>0</v>
      </c>
      <c r="O22" s="0" t="n">
        <f aca="false">-'Inputs 2026'!B22%*50%</f>
        <v>-0</v>
      </c>
      <c r="P22" s="0" t="e">
        <f aca="false">C22*2+D22</f>
        <v>#DIV/0!</v>
      </c>
      <c r="Q22" s="0" t="e">
        <f aca="false">SUM($C$2:C22)</f>
        <v>#DIV/0!</v>
      </c>
      <c r="R22" s="0" t="e">
        <f aca="false">$D$2+P22</f>
        <v>#DIV/0!</v>
      </c>
      <c r="S22" s="0" t="n">
        <f aca="false">COUNT(B22:Q22)</f>
        <v>13</v>
      </c>
      <c r="T22" s="0" t="n">
        <f aca="false">IF('Inputs 2026'!E22&gt;5,1,0)</f>
        <v>0</v>
      </c>
      <c r="U22" s="0" t="n">
        <f aca="false">IF('Inputs 2026'!E22='Inputs 2026'!D22,1,0)</f>
        <v>0</v>
      </c>
      <c r="V22" s="0" t="n">
        <f aca="false">IF('Inputs 2026'!E22,1,2)</f>
        <v>1</v>
      </c>
      <c r="W22" s="0" t="n">
        <f aca="false">IF('Inputs 2026'!B22&gt;0,IF('Inputs 2026'!C22&gt;0,1,2),3)</f>
        <v>3</v>
      </c>
      <c r="X22" s="0" t="n">
        <f aca="false">SUM('Inputs 2026'!E22,'Inputs 2026'!B22,5)</f>
        <v>7.675</v>
      </c>
      <c r="Y22" s="0" t="n">
        <f aca="false">MAX('Inputs 2026'!B22:C22,10)-MIN('Inputs 2026'!D22,'Inputs 2026'!E22)</f>
        <v>25</v>
      </c>
    </row>
    <row r="23" customFormat="false" ht="12.8" hidden="false" customHeight="false" outlineLevel="0" collapsed="false">
      <c r="A23" s="0" t="s">
        <v>28</v>
      </c>
      <c r="B23" s="0" t="n">
        <f aca="false">'Inputs 2026'!B23+'Inputs 2026'!C23*'Inputs 2026'!D23</f>
        <v>5</v>
      </c>
      <c r="C23" s="0" t="n">
        <f aca="false">('Inputs 2026'!B23-'Inputs 2026'!C23)/'Inputs 2026'!D23</f>
        <v>-0.008</v>
      </c>
      <c r="D23" s="0" t="n">
        <f aca="false">SUM('Inputs 2026'!B23:D23)</f>
        <v>25.2</v>
      </c>
      <c r="E23" s="0" t="n">
        <f aca="false">AVERAGE('Inputs 2026'!B23:E23)</f>
        <v>12.6</v>
      </c>
      <c r="F23" s="0" t="n">
        <f aca="false">MIN('Inputs 2026'!B23:E23)</f>
        <v>0.2</v>
      </c>
      <c r="G23" s="0" t="n">
        <f aca="false">MAX('Inputs 2026'!B23:E23)</f>
        <v>25</v>
      </c>
      <c r="H23" s="0" t="n">
        <f aca="false">COUNT('Inputs 2026'!B23:E23)</f>
        <v>2</v>
      </c>
      <c r="I23" s="0" t="n">
        <f aca="false">ROUND('Inputs 2026'!B23/7,2)</f>
        <v>0</v>
      </c>
      <c r="J23" s="0" t="n">
        <f aca="false">ROUND('Inputs 2026'!C23*1.005,2)</f>
        <v>0.2</v>
      </c>
      <c r="K23" s="0" t="n">
        <f aca="false">ROUND('Inputs 2026'!D23*1234.5678,-2)</f>
        <v>30900</v>
      </c>
      <c r="L23" s="0" t="n">
        <f aca="false">IF('Inputs 2026'!B23&gt;'Inputs 2026'!C23,'Inputs 2026'!B23,'Inputs 2026'!C23*2)</f>
        <v>0.4</v>
      </c>
      <c r="M23" s="0" t="n">
        <f aca="false">IF('Inputs 2026'!B23='Inputs 2026'!C23,1,0)</f>
        <v>0</v>
      </c>
      <c r="N23" s="0" t="n">
        <f aca="false">IF('Inputs 2026'!D23&lt;&gt;0,'Inputs 2026'!B23/'Inputs 2026'!D23,0)</f>
        <v>0</v>
      </c>
      <c r="O23" s="0" t="n">
        <f aca="false">-'Inputs 2026'!B23%*50%</f>
        <v>-0</v>
      </c>
      <c r="P23" s="0" t="n">
        <f aca="false">C23*2+D23</f>
        <v>25.184</v>
      </c>
      <c r="Q23" s="0" t="e">
        <f aca="false">SUM($C$2:C23)</f>
        <v>#DIV/0!</v>
      </c>
      <c r="R23" s="0" t="n">
        <f aca="false">$D$2+P23</f>
        <v>26.859</v>
      </c>
      <c r="S23" s="0" t="n">
        <f aca="false">COUNT(B23:Q23)</f>
        <v>15</v>
      </c>
      <c r="T23" s="0" t="n">
        <f aca="false">IF('Inputs 2026'!E23&gt;5,1,0)</f>
        <v>1</v>
      </c>
      <c r="U23" s="0" t="n">
        <f aca="false">IF('Inputs 2026'!E23='Inputs 2026'!D23,1,0)</f>
        <v>0</v>
      </c>
      <c r="V23" s="0" t="e">
        <f aca="false">IF('Inputs 2026'!E23,1,2)</f>
        <v>#VALUE!</v>
      </c>
      <c r="W23" s="0" t="n">
        <f aca="false">IF('Inputs 2026'!B23&gt;0,IF('Inputs 2026'!C23&gt;0,1,2),3)</f>
        <v>3</v>
      </c>
      <c r="X23" s="0" t="n">
        <f aca="false">SUM('Inputs 2026'!E23,'Inputs 2026'!B23,5)</f>
        <v>5</v>
      </c>
      <c r="Y23" s="0" t="n">
        <f aca="false">MAX('Inputs 2026'!B23:C23,10)-MIN('Inputs 2026'!D23,'Inputs 2026'!E23)</f>
        <v>-15</v>
      </c>
    </row>
    <row r="24" customFormat="false" ht="12.8" hidden="false" customHeight="false" outlineLevel="0" collapsed="false">
      <c r="A24" s="0" t="s">
        <v>29</v>
      </c>
      <c r="B24" s="0" t="n">
        <f aca="false">'Inputs 2026'!B24+'Inputs 2026'!C24*'Inputs 2026'!D24</f>
        <v>21</v>
      </c>
      <c r="C24" s="0" t="n">
        <f aca="false">('Inputs 2026'!B24-'Inputs 2026'!C24)/'Inputs 2026'!D24</f>
        <v>210</v>
      </c>
      <c r="D24" s="0" t="n">
        <f aca="false">SUM('Inputs 2026'!B24:D24)</f>
        <v>21.1</v>
      </c>
      <c r="E24" s="0" t="n">
        <f aca="false">AVERAGE('Inputs 2026'!B24:E24)</f>
        <v>5.275</v>
      </c>
      <c r="F24" s="0" t="n">
        <f aca="false">MIN('Inputs 2026'!B24:E24)</f>
        <v>0</v>
      </c>
      <c r="G24" s="0" t="n">
        <f aca="false">MAX('Inputs 2026'!B24:E24)</f>
        <v>21</v>
      </c>
      <c r="H24" s="0" t="n">
        <f aca="false">COUNT('Inputs 2026'!B24:E24)</f>
        <v>4</v>
      </c>
      <c r="I24" s="0" t="n">
        <f aca="false">ROUND('Inputs 2026'!B24/7,2)</f>
        <v>3</v>
      </c>
      <c r="J24" s="0" t="n">
        <f aca="false">ROUND('Inputs 2026'!C24*1.005,2)</f>
        <v>0</v>
      </c>
      <c r="K24" s="0" t="n">
        <f aca="false">ROUND('Inputs 2026'!D24*1234.5678,-2)</f>
        <v>100</v>
      </c>
      <c r="L24" s="0" t="n">
        <f aca="false">IF('Inputs 2026'!B24&gt;'Inputs 2026'!C24,'Inputs 2026'!B24,'Inputs 2026'!C24*2)</f>
        <v>21</v>
      </c>
      <c r="M24" s="0" t="n">
        <f aca="false">IF('Inputs 2026'!B24='Inputs 2026'!C24,1,0)</f>
        <v>0</v>
      </c>
      <c r="N24" s="0" t="n">
        <f aca="false">IF('Inputs 2026'!D24&lt;&gt;0,'Inputs 2026'!B24/'Inputs 2026'!D24,0)</f>
        <v>210</v>
      </c>
      <c r="O24" s="0" t="n">
        <f aca="false">-'Inputs 2026'!B24%*50%</f>
        <v>-0.105</v>
      </c>
      <c r="P24" s="0" t="n">
        <f aca="false">C24*2+D24</f>
        <v>441.1</v>
      </c>
      <c r="Q24" s="0" t="e">
        <f aca="false">SUM($C$2:C24)</f>
        <v>#DIV/0!</v>
      </c>
      <c r="R24" s="0" t="n">
        <f aca="false">$D$2+P24</f>
        <v>442.775</v>
      </c>
      <c r="S24" s="0" t="n">
        <f aca="false">COUNT(B24:Q24)</f>
        <v>15</v>
      </c>
      <c r="T24" s="0" t="n">
        <f aca="false">IF('Inputs 2026'!E24&gt;5,1,0)</f>
        <v>0</v>
      </c>
      <c r="U24" s="0" t="n">
        <f aca="false">IF('Inputs 2026'!E24='Inputs 2026'!D24,1,0)</f>
        <v>0</v>
      </c>
      <c r="V24" s="0" t="n">
        <f aca="false">IF('Inputs 2026'!E24,1,2)</f>
        <v>2</v>
      </c>
      <c r="W24" s="0" t="n">
        <f aca="false">IF('Inputs 2026'!B24&gt;0,IF('Inputs 2026'!C24&gt;0,1,2),3)</f>
        <v>2</v>
      </c>
      <c r="X24" s="0" t="n">
        <f aca="false">SUM('Inputs 2026'!E24,'Inputs 2026'!B24,5)</f>
        <v>26</v>
      </c>
      <c r="Y24" s="0" t="n">
        <f aca="false">MAX('Inputs 2026'!B24:C24,10)-MIN('Inputs 2026'!D24,'Inputs 2026'!E24)</f>
        <v>21</v>
      </c>
    </row>
    <row r="25" customFormat="false" ht="12.8" hidden="false" customHeight="false" outlineLevel="0" collapsed="false">
      <c r="A25" s="0" t="s">
        <v>30</v>
      </c>
      <c r="B25" s="0" t="n">
        <f aca="false">'Inputs 2026'!B25+'Inputs 2026'!C25*'Inputs 2026'!D25</f>
        <v>0.2</v>
      </c>
      <c r="C25" s="0" t="n">
        <f aca="false">('Inputs 2026'!B25-'Inputs 2026'!C25)/'Inputs 2026'!D25</f>
        <v>-0.2</v>
      </c>
      <c r="D25" s="0" t="n">
        <f aca="false">SUM('Inputs 2026'!B25:D25)</f>
        <v>1.2</v>
      </c>
      <c r="E25" s="0" t="n">
        <f aca="false">AVERAGE('Inputs 2026'!B25:E25)</f>
        <v>1.06666666666667</v>
      </c>
      <c r="F25" s="0" t="n">
        <f aca="false">MIN('Inputs 2026'!B25:E25)</f>
        <v>0.2</v>
      </c>
      <c r="G25" s="0" t="n">
        <f aca="false">MAX('Inputs 2026'!B25:E25)</f>
        <v>2</v>
      </c>
      <c r="H25" s="0" t="n">
        <f aca="false">COUNT('Inputs 2026'!B25:E25)</f>
        <v>3</v>
      </c>
      <c r="I25" s="0" t="n">
        <f aca="false">ROUND('Inputs 2026'!B25/7,2)</f>
        <v>0</v>
      </c>
      <c r="J25" s="0" t="n">
        <f aca="false">ROUND('Inputs 2026'!C25*1.005,2)</f>
        <v>0.2</v>
      </c>
      <c r="K25" s="0" t="n">
        <f aca="false">ROUND('Inputs 2026'!D25*1234.5678,-2)</f>
        <v>1200</v>
      </c>
      <c r="L25" s="0" t="n">
        <f aca="false">IF('Inputs 2026'!B25&gt;'Inputs 2026'!C25,'Inputs 2026'!B25,'Inputs 2026'!C25*2)</f>
        <v>0.4</v>
      </c>
      <c r="M25" s="0" t="n">
        <f aca="false">IF('Inputs 2026'!B25='Inputs 2026'!C25,1,0)</f>
        <v>0</v>
      </c>
      <c r="N25" s="0" t="n">
        <f aca="false">IF('Inputs 2026'!D25&lt;&gt;0,'Inputs 2026'!B25/'Inputs 2026'!D25,0)</f>
        <v>0</v>
      </c>
      <c r="O25" s="0" t="n">
        <f aca="false">-'Inputs 2026'!B25%*50%</f>
        <v>-0</v>
      </c>
      <c r="P25" s="0" t="n">
        <f aca="false">C25*2+D25</f>
        <v>0.8</v>
      </c>
      <c r="Q25" s="0" t="e">
        <f aca="false">SUM($C$2:C25)</f>
        <v>#DIV/0!</v>
      </c>
      <c r="R25" s="0" t="n">
        <f aca="false">$D$2+P25</f>
        <v>2.475</v>
      </c>
      <c r="S25" s="0" t="n">
        <f aca="false">COUNT(B25:Q25)</f>
        <v>15</v>
      </c>
      <c r="T25" s="0" t="n">
        <f aca="false">IF('Inputs 2026'!E25&gt;5,1,0)</f>
        <v>0</v>
      </c>
      <c r="U25" s="0" t="n">
        <f aca="false">IF('Inputs 2026'!E25='Inputs 2026'!D25,1,0)</f>
        <v>0</v>
      </c>
      <c r="V25" s="0" t="n">
        <f aca="false">IF('Inputs 2026'!E25,1,2)</f>
        <v>1</v>
      </c>
      <c r="W25" s="0" t="n">
        <f aca="false">IF('Inputs 2026'!B25&gt;0,IF('Inputs 2026'!C25&gt;0,1,2),3)</f>
        <v>3</v>
      </c>
      <c r="X25" s="0" t="n">
        <f aca="false">SUM('Inputs 2026'!E25,'Inputs 2026'!B25,5)</f>
        <v>7</v>
      </c>
      <c r="Y25" s="0" t="n">
        <f aca="false">MAX('Inputs 2026'!B25:C25,10)-MIN('Inputs 2026'!D25,'Inputs 2026'!E25)</f>
        <v>9</v>
      </c>
    </row>
    <row r="26" customFormat="false" ht="12.8" hidden="false" customHeight="false" outlineLevel="0" collapsed="false">
      <c r="A26" s="0" t="s">
        <v>31</v>
      </c>
      <c r="B26" s="0" t="n">
        <f aca="false">'Inputs 2026'!B26+'Inputs 2026'!C26*'Inputs 2026'!D26</f>
        <v>18.925</v>
      </c>
      <c r="C26" s="0" t="n">
        <f aca="false">('Inputs 2026'!B26-'Inputs 2026'!C26)/'Inputs 2026'!D26</f>
        <v>-0.353571428571429</v>
      </c>
      <c r="D26" s="0" t="n">
        <f aca="false">SUM('Inputs 2026'!B26:D26)</f>
        <v>9.875</v>
      </c>
      <c r="E26" s="0" t="n">
        <f aca="false">AVERAGE('Inputs 2026'!B26:E26)</f>
        <v>3.29166666666667</v>
      </c>
      <c r="F26" s="0" t="n">
        <f aca="false">MIN('Inputs 2026'!B26:E26)</f>
        <v>0.2</v>
      </c>
      <c r="G26" s="0" t="n">
        <f aca="false">MAX('Inputs 2026'!B26:E26)</f>
        <v>7</v>
      </c>
      <c r="H26" s="0" t="n">
        <f aca="false">COUNT('Inputs 2026'!B26:E26)</f>
        <v>3</v>
      </c>
      <c r="I26" s="0" t="n">
        <f aca="false">ROUND('Inputs 2026'!B26/7,2)</f>
        <v>0.03</v>
      </c>
      <c r="J26" s="0" t="n">
        <f aca="false">ROUND('Inputs 2026'!C26*1.005,2)</f>
        <v>2.69</v>
      </c>
      <c r="K26" s="0" t="n">
        <f aca="false">ROUND('Inputs 2026'!D26*1234.5678,-2)</f>
        <v>8600</v>
      </c>
      <c r="L26" s="0" t="n">
        <f aca="false">IF('Inputs 2026'!B26&gt;'Inputs 2026'!C26,'Inputs 2026'!B26,'Inputs 2026'!C26*2)</f>
        <v>5.35</v>
      </c>
      <c r="M26" s="0" t="n">
        <f aca="false">IF('Inputs 2026'!B26='Inputs 2026'!C26,1,0)</f>
        <v>0</v>
      </c>
      <c r="N26" s="0" t="n">
        <f aca="false">IF('Inputs 2026'!D26&lt;&gt;0,'Inputs 2026'!B26/'Inputs 2026'!D26,0)</f>
        <v>0.0285714285714286</v>
      </c>
      <c r="O26" s="0" t="n">
        <f aca="false">-'Inputs 2026'!B26%*50%</f>
        <v>-0.001</v>
      </c>
      <c r="P26" s="0" t="n">
        <f aca="false">C26*2+D26</f>
        <v>9.16785714285714</v>
      </c>
      <c r="Q26" s="0" t="e">
        <f aca="false">SUM($C$2:C26)</f>
        <v>#DIV/0!</v>
      </c>
      <c r="R26" s="0" t="n">
        <f aca="false">$D$2+P26</f>
        <v>10.8428571428571</v>
      </c>
      <c r="S26" s="0" t="n">
        <f aca="false">COUNT(B26:Q26)</f>
        <v>15</v>
      </c>
      <c r="T26" s="0" t="n">
        <f aca="false">IF('Inputs 2026'!E26&gt;5,1,0)</f>
        <v>0</v>
      </c>
      <c r="U26" s="0" t="n">
        <f aca="false">IF('Inputs 2026'!E26='Inputs 2026'!D26,1,0)</f>
        <v>0</v>
      </c>
      <c r="V26" s="0" t="n">
        <f aca="false">IF('Inputs 2026'!E26,1,2)</f>
        <v>2</v>
      </c>
      <c r="W26" s="0" t="n">
        <f aca="false">IF('Inputs 2026'!B26&gt;0,IF('Inputs 2026'!C26&gt;0,1,2),3)</f>
        <v>1</v>
      </c>
      <c r="X26" s="0" t="n">
        <f aca="false">SUM('Inputs 2026'!E26,'Inputs 2026'!B26,5)</f>
        <v>5.2</v>
      </c>
      <c r="Y26" s="0" t="n">
        <f aca="false">MAX('Inputs 2026'!B26:C26,10)-MIN('Inputs 2026'!D26,'Inputs 2026'!E26)</f>
        <v>3</v>
      </c>
    </row>
    <row r="27" customFormat="false" ht="12.8" hidden="false" customHeight="false" outlineLevel="0" collapsed="false">
      <c r="A27" s="0" t="s">
        <v>32</v>
      </c>
      <c r="B27" s="0" t="n">
        <f aca="false">'Inputs 2026'!B27+'Inputs 2026'!C27*'Inputs 2026'!D27</f>
        <v>99</v>
      </c>
      <c r="C27" s="0" t="n">
        <f aca="false">('Inputs 2026'!B27-'Inputs 2026'!C27)/'Inputs 2026'!D27</f>
        <v>-24.9375</v>
      </c>
      <c r="D27" s="0" t="n">
        <f aca="false">SUM('Inputs 2026'!B27:D27)</f>
        <v>96.25</v>
      </c>
      <c r="E27" s="0" t="n">
        <f aca="false">AVERAGE('Inputs 2026'!B27:E27)</f>
        <v>24.0625</v>
      </c>
      <c r="F27" s="0" t="n">
        <f aca="false">MIN('Inputs 2026'!B27:E27)</f>
        <v>-4</v>
      </c>
      <c r="G27" s="0" t="n">
        <f aca="false">MAX('Inputs 2026'!B27:E27)</f>
        <v>100</v>
      </c>
      <c r="H27" s="0" t="n">
        <f aca="false">COUNT('Inputs 2026'!B27:E27)</f>
        <v>4</v>
      </c>
      <c r="I27" s="0" t="n">
        <f aca="false">ROUND('Inputs 2026'!B27/7,2)</f>
        <v>14.29</v>
      </c>
      <c r="J27" s="0" t="n">
        <f aca="false">ROUND('Inputs 2026'!C27*1.005,2)</f>
        <v>0.25</v>
      </c>
      <c r="K27" s="0" t="n">
        <f aca="false">ROUND('Inputs 2026'!D27*1234.5678,-2)</f>
        <v>-4900</v>
      </c>
      <c r="L27" s="0" t="n">
        <f aca="false">IF('Inputs 2026'!B27&gt;'Inputs 2026'!C27,'Inputs 2026'!B27,'Inputs 2026'!C27*2)</f>
        <v>100</v>
      </c>
      <c r="M27" s="0" t="n">
        <f aca="false">IF('Inputs 2026'!B27='Inputs 2026'!C27,1,0)</f>
        <v>0</v>
      </c>
      <c r="N27" s="0" t="n">
        <f aca="false">IF('Inputs 2026'!D27&lt;&gt;0,'Inputs 2026'!B27/'Inputs 2026'!D27,0)</f>
        <v>-25</v>
      </c>
      <c r="O27" s="0" t="n">
        <f aca="false">-'Inputs 2026'!B27%*50%</f>
        <v>-0.5</v>
      </c>
      <c r="P27" s="0" t="n">
        <f aca="false">C27*2+D27</f>
        <v>46.375</v>
      </c>
      <c r="Q27" s="0" t="e">
        <f aca="false">SUM($C$2:C27)</f>
        <v>#DIV/0!</v>
      </c>
      <c r="R27" s="0" t="n">
        <f aca="false">$D$2+P27</f>
        <v>48.05</v>
      </c>
      <c r="S27" s="0" t="n">
        <f aca="false">COUNT(B27:Q27)</f>
        <v>15</v>
      </c>
      <c r="T27" s="0" t="n">
        <f aca="false">IF('Inputs 2026'!E27&gt;5,1,0)</f>
        <v>0</v>
      </c>
      <c r="U27" s="0" t="n">
        <f aca="false">IF('Inputs 2026'!E27='Inputs 2026'!D27,1,0)</f>
        <v>0</v>
      </c>
      <c r="V27" s="0" t="n">
        <f aca="false">IF('Inputs 2026'!E27,1,2)</f>
        <v>2</v>
      </c>
      <c r="W27" s="0" t="n">
        <f aca="false">IF('Inputs 2026'!B27&gt;0,IF('Inputs 2026'!C27&gt;0,1,2),3)</f>
        <v>1</v>
      </c>
      <c r="X27" s="0" t="n">
        <f aca="false">SUM('Inputs 2026'!E27,'Inputs 2026'!B27,5)</f>
        <v>105</v>
      </c>
      <c r="Y27" s="0" t="n">
        <f aca="false">MAX('Inputs 2026'!B27:C27,10)-MIN('Inputs 2026'!D27,'Inputs 2026'!E27)</f>
        <v>104</v>
      </c>
    </row>
    <row r="28" customFormat="false" ht="12.8" hidden="false" customHeight="false" outlineLevel="0" collapsed="false">
      <c r="A28" s="0" t="s">
        <v>33</v>
      </c>
      <c r="B28" s="0" t="n">
        <f aca="false">'Inputs 2026'!B28+'Inputs 2026'!C28*'Inputs 2026'!D28</f>
        <v>617.5339</v>
      </c>
      <c r="C28" s="0" t="n">
        <f aca="false">('Inputs 2026'!B28-'Inputs 2026'!C28)/'Inputs 2026'!D28</f>
        <v>-0.000202500016605001</v>
      </c>
      <c r="D28" s="0" t="n">
        <f aca="false">SUM('Inputs 2026'!B28:D28)</f>
        <v>1235.3178</v>
      </c>
      <c r="E28" s="0" t="n">
        <f aca="false">AVERAGE('Inputs 2026'!B28:E28)</f>
        <v>411.7726</v>
      </c>
      <c r="F28" s="0" t="n">
        <f aca="false">MIN('Inputs 2026'!B28:E28)</f>
        <v>0.25</v>
      </c>
      <c r="G28" s="0" t="n">
        <f aca="false">MAX('Inputs 2026'!B28:E28)</f>
        <v>1234.5678</v>
      </c>
      <c r="H28" s="0" t="n">
        <f aca="false">COUNT('Inputs 2026'!B28:E28)</f>
        <v>3</v>
      </c>
      <c r="I28" s="0" t="n">
        <f aca="false">ROUND('Inputs 2026'!B28/7,2)</f>
        <v>0.04</v>
      </c>
      <c r="J28" s="0" t="n">
        <f aca="false">ROUND('Inputs 2026'!C28*1.005,2)</f>
        <v>0.5</v>
      </c>
      <c r="K28" s="0" t="n">
        <f aca="false">ROUND('Inputs 2026'!D28*1234.5678,-2)</f>
        <v>1524200</v>
      </c>
      <c r="L28" s="0" t="n">
        <f aca="false">IF('Inputs 2026'!B28&gt;'Inputs 2026'!C28,'Inputs 2026'!B28,'Inputs 2026'!C28*2)</f>
        <v>1</v>
      </c>
      <c r="M28" s="0" t="n">
        <f aca="false">IF('Inputs 2026'!B28='Inputs 2026'!C28,1,0)</f>
        <v>0</v>
      </c>
      <c r="N28" s="0" t="n">
        <f aca="false">IF('Inputs 2026'!D28&lt;&gt;0,'Inputs 2026'!B28/'Inputs 2026'!D28,0)</f>
        <v>0.000202500016605001</v>
      </c>
      <c r="O28" s="0" t="n">
        <f aca="false">-'Inputs 2026'!B28%*50%</f>
        <v>-0.00125</v>
      </c>
      <c r="P28" s="0" t="n">
        <f aca="false">C28*2+D28</f>
        <v>1235.31739499997</v>
      </c>
      <c r="Q28" s="0" t="e">
        <f aca="false">SUM($C$2:C28)</f>
        <v>#DIV/0!</v>
      </c>
      <c r="R28" s="0" t="n">
        <f aca="false">$D$2+P28</f>
        <v>1236.99239499997</v>
      </c>
      <c r="S28" s="0" t="n">
        <f aca="false">COUNT(B28:Q28)</f>
        <v>15</v>
      </c>
      <c r="T28" s="0" t="n">
        <f aca="false">IF('Inputs 2026'!E28&gt;5,1,0)</f>
        <v>1</v>
      </c>
      <c r="U28" s="0" t="n">
        <f aca="false">IF('Inputs 2026'!E28='Inputs 2026'!D28,1,0)</f>
        <v>0</v>
      </c>
      <c r="V28" s="0" t="e">
        <f aca="false">IF('Inputs 2026'!E28,1,2)</f>
        <v>#VALUE!</v>
      </c>
      <c r="W28" s="0" t="n">
        <f aca="false">IF('Inputs 2026'!B28&gt;0,IF('Inputs 2026'!C28&gt;0,1,2),3)</f>
        <v>1</v>
      </c>
      <c r="X28" s="0" t="n">
        <f aca="false">SUM('Inputs 2026'!E28,'Inputs 2026'!B28,5)</f>
        <v>5.25</v>
      </c>
      <c r="Y28" s="0" t="n">
        <f aca="false">MAX('Inputs 2026'!B28:C28,10)-MIN('Inputs 2026'!D28,'Inputs 2026'!E28)</f>
        <v>-1224.5678</v>
      </c>
    </row>
    <row r="29" customFormat="false" ht="12.8" hidden="false" customHeight="false" outlineLevel="0" collapsed="false">
      <c r="A29" s="0" t="s">
        <v>34</v>
      </c>
      <c r="B29" s="0" t="n">
        <f aca="false">'Inputs 2026'!B29+'Inputs 2026'!C29*'Inputs 2026'!D29</f>
        <v>22</v>
      </c>
      <c r="C29" s="0" t="n">
        <f aca="false">('Inputs 2026'!B29-'Inputs 2026'!C29)/'Inputs 2026'!D29</f>
        <v>8.66666666666667</v>
      </c>
      <c r="D29" s="0" t="n">
        <f aca="false">SUM('Inputs 2026'!B29:D29)</f>
        <v>27</v>
      </c>
      <c r="E29" s="0" t="n">
        <f aca="false">AVERAGE('Inputs 2026'!B29:E29)</f>
        <v>9</v>
      </c>
      <c r="F29" s="0" t="n">
        <f aca="false">MIN('Inputs 2026'!B29:E29)</f>
        <v>-1</v>
      </c>
      <c r="G29" s="0" t="n">
        <f aca="false">MAX('Inputs 2026'!B29:E29)</f>
        <v>25</v>
      </c>
      <c r="H29" s="0" t="n">
        <f aca="false">COUNT('Inputs 2026'!B29:E29)</f>
        <v>3</v>
      </c>
      <c r="I29" s="0" t="n">
        <f aca="false">ROUND('Inputs 2026'!B29/7,2)</f>
        <v>3.57</v>
      </c>
      <c r="J29" s="0" t="n">
        <f aca="false">ROUND('Inputs 2026'!C29*1.005,2)</f>
        <v>-1.01</v>
      </c>
      <c r="K29" s="0" t="n">
        <f aca="false">ROUND('Inputs 2026'!D29*1234.5678,-2)</f>
        <v>3700</v>
      </c>
      <c r="L29" s="0" t="n">
        <f aca="false">IF('Inputs 2026'!B29&gt;'Inputs 2026'!C29,'Inputs 2026'!B29,'Inputs 2026'!C29*2)</f>
        <v>25</v>
      </c>
      <c r="M29" s="0" t="n">
        <f aca="false">IF('Inputs 2026'!B29='Inputs 2026'!C29,1,0)</f>
        <v>0</v>
      </c>
      <c r="N29" s="0" t="n">
        <f aca="false">IF('Inputs 2026'!D29&lt;&gt;0,'Inputs 2026'!B29/'Inputs 2026'!D29,0)</f>
        <v>8.33333333333333</v>
      </c>
      <c r="O29" s="0" t="n">
        <f aca="false">-'Inputs 2026'!B29%*50%</f>
        <v>-0.125</v>
      </c>
      <c r="P29" s="0" t="n">
        <f aca="false">C29*2+D29</f>
        <v>44.3333333333333</v>
      </c>
      <c r="Q29" s="0" t="e">
        <f aca="false">SUM($C$2:C29)</f>
        <v>#DIV/0!</v>
      </c>
      <c r="R29" s="0" t="n">
        <f aca="false">$D$2+P29</f>
        <v>46.0083333333333</v>
      </c>
      <c r="S29" s="0" t="n">
        <f aca="false">COUNT(B29:Q29)</f>
        <v>15</v>
      </c>
      <c r="T29" s="0" t="n">
        <f aca="false">IF('Inputs 2026'!E29&gt;5,1,0)</f>
        <v>0</v>
      </c>
      <c r="U29" s="0" t="n">
        <f aca="false">IF('Inputs 2026'!E29='Inputs 2026'!D29,1,0)</f>
        <v>0</v>
      </c>
      <c r="V29" s="0" t="n">
        <f aca="false">IF('Inputs 2026'!E29,1,2)</f>
        <v>2</v>
      </c>
      <c r="W29" s="0" t="n">
        <f aca="false">IF('Inputs 2026'!B29&gt;0,IF('Inputs 2026'!C29&gt;0,1,2),3)</f>
        <v>2</v>
      </c>
      <c r="X29" s="0" t="n">
        <f aca="false">SUM('Inputs 2026'!E29,'Inputs 2026'!B29,5)</f>
        <v>30</v>
      </c>
      <c r="Y29" s="0" t="n">
        <f aca="false">MAX('Inputs 2026'!B29:C29,10)-MIN('Inputs 2026'!D29,'Inputs 2026'!E29)</f>
        <v>22</v>
      </c>
    </row>
    <row r="30" customFormat="false" ht="12.8" hidden="false" customHeight="false" outlineLevel="0" collapsed="false">
      <c r="A30" s="0" t="s">
        <v>35</v>
      </c>
      <c r="B30" s="0" t="n">
        <f aca="false">'Inputs 2026'!B30+'Inputs 2026'!C30*'Inputs 2026'!D30</f>
        <v>-0.8</v>
      </c>
      <c r="C30" s="0" t="n">
        <f aca="false">('Inputs 2026'!B30-'Inputs 2026'!C30)/'Inputs 2026'!D30</f>
        <v>-30</v>
      </c>
      <c r="D30" s="0" t="n">
        <f aca="false">SUM('Inputs 2026'!B30:D30)</f>
        <v>1.1</v>
      </c>
      <c r="E30" s="0" t="n">
        <f aca="false">AVERAGE('Inputs 2026'!B30:E30)</f>
        <v>0.366666666666667</v>
      </c>
      <c r="F30" s="0" t="n">
        <f aca="false">MIN('Inputs 2026'!B30:E30)</f>
        <v>-1</v>
      </c>
      <c r="G30" s="0" t="n">
        <f aca="false">MAX('Inputs 2026'!B30:E30)</f>
        <v>2</v>
      </c>
      <c r="H30" s="0" t="n">
        <f aca="false">COUNT('Inputs 2026'!B30:E30)</f>
        <v>3</v>
      </c>
      <c r="I30" s="0" t="n">
        <f aca="false">ROUND('Inputs 2026'!B30/7,2)</f>
        <v>-0.14</v>
      </c>
      <c r="J30" s="0" t="n">
        <f aca="false">ROUND('Inputs 2026'!C30*1.005,2)</f>
        <v>2.01</v>
      </c>
      <c r="K30" s="0" t="n">
        <f aca="false">ROUND('Inputs 2026'!D30*1234.5678,-2)</f>
        <v>100</v>
      </c>
      <c r="L30" s="0" t="n">
        <f aca="false">IF('Inputs 2026'!B30&gt;'Inputs 2026'!C30,'Inputs 2026'!B30,'Inputs 2026'!C30*2)</f>
        <v>4</v>
      </c>
      <c r="M30" s="0" t="n">
        <f aca="false">IF('Inputs 2026'!B30='Inputs 2026'!C30,1,0)</f>
        <v>0</v>
      </c>
      <c r="N30" s="0" t="n">
        <f aca="false">IF('Inputs 2026'!D30&lt;&gt;0,'Inputs 2026'!B30/'Inputs 2026'!D30,0)</f>
        <v>-10</v>
      </c>
      <c r="O30" s="0" t="n">
        <f aca="false">-'Inputs 2026'!B30%*50%</f>
        <v>0.005</v>
      </c>
      <c r="P30" s="0" t="n">
        <f aca="false">C30*2+D30</f>
        <v>-58.9</v>
      </c>
      <c r="Q30" s="0" t="e">
        <f aca="false">SUM($C$2:C30)</f>
        <v>#DIV/0!</v>
      </c>
      <c r="R30" s="0" t="n">
        <f aca="false">$D$2+P30</f>
        <v>-57.225</v>
      </c>
      <c r="S30" s="0" t="n">
        <f aca="false">COUNT(B30:Q30)</f>
        <v>15</v>
      </c>
      <c r="T30" s="0" t="n">
        <f aca="false">IF('Inputs 2026'!E30&gt;5,1,0)</f>
        <v>1</v>
      </c>
      <c r="U30" s="0" t="n">
        <f aca="false">IF('Inputs 2026'!E30='Inputs 2026'!D30,1,0)</f>
        <v>0</v>
      </c>
      <c r="V30" s="0" t="e">
        <f aca="false">IF('Inputs 2026'!E30,1,2)</f>
        <v>#VALUE!</v>
      </c>
      <c r="W30" s="0" t="n">
        <f aca="false">IF('Inputs 2026'!B30&gt;0,IF('Inputs 2026'!C30&gt;0,1,2),3)</f>
        <v>3</v>
      </c>
      <c r="X30" s="0" t="n">
        <f aca="false">SUM('Inputs 2026'!E30,'Inputs 2026'!B30,5)</f>
        <v>4</v>
      </c>
      <c r="Y30" s="0" t="n">
        <f aca="false">MAX('Inputs 2026'!B30:C30,10)-MIN('Inputs 2026'!D30,'Inputs 2026'!E30)</f>
        <v>9.9</v>
      </c>
    </row>
    <row r="31" customFormat="false" ht="12.8" hidden="false" customHeight="false" outlineLevel="0" collapsed="false">
      <c r="A31" s="0" t="s">
        <v>36</v>
      </c>
      <c r="B31" s="0" t="n">
        <f aca="false">'Inputs 2026'!B31+'Inputs 2026'!C31*'Inputs 2026'!D31</f>
        <v>30.5</v>
      </c>
      <c r="C31" s="0" t="n">
        <f aca="false">('Inputs 2026'!B31-'Inputs 2026'!C31)/'Inputs 2026'!D31</f>
        <v>-3.16666666666667</v>
      </c>
      <c r="D31" s="0" t="n">
        <f aca="false">SUM('Inputs 2026'!B31:D31)</f>
        <v>13.5</v>
      </c>
      <c r="E31" s="0" t="n">
        <f aca="false">AVERAGE('Inputs 2026'!B31:E31)</f>
        <v>5.125</v>
      </c>
      <c r="F31" s="0" t="n">
        <f aca="false">MIN('Inputs 2026'!B31:E31)</f>
        <v>0.5</v>
      </c>
      <c r="G31" s="0" t="n">
        <f aca="false">MAX('Inputs 2026'!B31:E31)</f>
        <v>10</v>
      </c>
      <c r="H31" s="0" t="n">
        <f aca="false">COUNT('Inputs 2026'!B31:E31)</f>
        <v>4</v>
      </c>
      <c r="I31" s="0" t="n">
        <f aca="false">ROUND('Inputs 2026'!B31/7,2)</f>
        <v>0.07</v>
      </c>
      <c r="J31" s="0" t="n">
        <f aca="false">ROUND('Inputs 2026'!C31*1.005,2)</f>
        <v>10.05</v>
      </c>
      <c r="K31" s="0" t="n">
        <f aca="false">ROUND('Inputs 2026'!D31*1234.5678,-2)</f>
        <v>3700</v>
      </c>
      <c r="L31" s="0" t="n">
        <f aca="false">IF('Inputs 2026'!B31&gt;'Inputs 2026'!C31,'Inputs 2026'!B31,'Inputs 2026'!C31*2)</f>
        <v>20</v>
      </c>
      <c r="M31" s="0" t="n">
        <f aca="false">IF('Inputs 2026'!B31='Inputs 2026'!C31,1,0)</f>
        <v>0</v>
      </c>
      <c r="N31" s="0" t="n">
        <f aca="false">IF('Inputs 2026'!D31&lt;&gt;0,'Inputs 2026'!B31/'Inputs 2026'!D31,0)</f>
        <v>0.166666666666667</v>
      </c>
      <c r="O31" s="0" t="n">
        <f aca="false">-'Inputs 2026'!B31%*50%</f>
        <v>-0.0025</v>
      </c>
      <c r="P31" s="0" t="n">
        <f aca="false">C31*2+D31</f>
        <v>7.16666666666667</v>
      </c>
      <c r="Q31" s="0" t="e">
        <f aca="false">SUM($C$2:C31)</f>
        <v>#DIV/0!</v>
      </c>
      <c r="R31" s="0" t="n">
        <f aca="false">$D$2+P31</f>
        <v>8.84166666666667</v>
      </c>
      <c r="S31" s="0" t="n">
        <f aca="false">COUNT(B31:Q31)</f>
        <v>15</v>
      </c>
      <c r="T31" s="0" t="n">
        <f aca="false">IF('Inputs 2026'!E31&gt;5,1,0)</f>
        <v>1</v>
      </c>
      <c r="U31" s="0" t="n">
        <f aca="false">IF('Inputs 2026'!E31='Inputs 2026'!D31,1,0)</f>
        <v>0</v>
      </c>
      <c r="V31" s="0" t="n">
        <f aca="false">IF('Inputs 2026'!E31,1,2)</f>
        <v>1</v>
      </c>
      <c r="W31" s="0" t="n">
        <f aca="false">IF('Inputs 2026'!B31&gt;0,IF('Inputs 2026'!C31&gt;0,1,2),3)</f>
        <v>1</v>
      </c>
      <c r="X31" s="0" t="n">
        <f aca="false">SUM('Inputs 2026'!E31,'Inputs 2026'!B31,5)</f>
        <v>12.5</v>
      </c>
      <c r="Y31" s="0" t="n">
        <f aca="false">MAX('Inputs 2026'!B31:C31,10)-MIN('Inputs 2026'!D31,'Inputs 2026'!E31)</f>
        <v>7</v>
      </c>
    </row>
    <row r="32" customFormat="false" ht="12.8" hidden="false" customHeight="false" outlineLevel="0" collapsed="false">
      <c r="A32" s="0" t="s">
        <v>37</v>
      </c>
      <c r="B32" s="0" t="n">
        <f aca="false">'Inputs 2026'!B32+'Inputs 2026'!C32*'Inputs 2026'!D32</f>
        <v>1.1005</v>
      </c>
      <c r="C32" s="0" t="n">
        <f aca="false">('Inputs 2026'!B32-'Inputs 2026'!C32)/'Inputs 2026'!D32</f>
        <v>-0.0499999999999989</v>
      </c>
      <c r="D32" s="0" t="n">
        <f aca="false">SUM('Inputs 2026'!B32:D32)</f>
        <v>2.105</v>
      </c>
      <c r="E32" s="0" t="n">
        <f aca="false">AVERAGE('Inputs 2026'!B32:E32)</f>
        <v>0.701666666666667</v>
      </c>
      <c r="F32" s="0" t="n">
        <f aca="false">MIN('Inputs 2026'!B32:E32)</f>
        <v>0.1</v>
      </c>
      <c r="G32" s="0" t="n">
        <f aca="false">MAX('Inputs 2026'!B32:E32)</f>
        <v>1.005</v>
      </c>
      <c r="H32" s="0" t="n">
        <f aca="false">COUNT('Inputs 2026'!B32:E32)</f>
        <v>3</v>
      </c>
      <c r="I32" s="0" t="n">
        <f aca="false">ROUND('Inputs 2026'!B32/7,2)</f>
        <v>0.14</v>
      </c>
      <c r="J32" s="0" t="n">
        <f aca="false">ROUND('Inputs 2026'!C32*1.005,2)</f>
        <v>1.01</v>
      </c>
      <c r="K32" s="0" t="n">
        <f aca="false">ROUND('Inputs 2026'!D32*1234.5678,-2)</f>
        <v>100</v>
      </c>
      <c r="L32" s="0" t="n">
        <f aca="false">IF('Inputs 2026'!B32&gt;'Inputs 2026'!C32,'Inputs 2026'!B32,'Inputs 2026'!C32*2)</f>
        <v>2.01</v>
      </c>
      <c r="M32" s="0" t="n">
        <f aca="false">IF('Inputs 2026'!B32='Inputs 2026'!C32,1,0)</f>
        <v>0</v>
      </c>
      <c r="N32" s="0" t="n">
        <f aca="false">IF('Inputs 2026'!D32&lt;&gt;0,'Inputs 2026'!B32/'Inputs 2026'!D32,0)</f>
        <v>10</v>
      </c>
      <c r="O32" s="0" t="n">
        <f aca="false">-'Inputs 2026'!B32%*50%</f>
        <v>-0.005</v>
      </c>
      <c r="P32" s="0" t="n">
        <f aca="false">C32*2+D32</f>
        <v>2.005</v>
      </c>
      <c r="Q32" s="0" t="e">
        <f aca="false">SUM($C$2:C32)</f>
        <v>#DIV/0!</v>
      </c>
      <c r="R32" s="0" t="n">
        <f aca="false">$D$2+P32</f>
        <v>3.68</v>
      </c>
      <c r="S32" s="0" t="n">
        <f aca="false">COUNT(B32:Q32)</f>
        <v>15</v>
      </c>
      <c r="T32" s="0" t="n">
        <f aca="false">IF('Inputs 2026'!E32&gt;5,1,0)</f>
        <v>1</v>
      </c>
      <c r="U32" s="0" t="n">
        <f aca="false">IF('Inputs 2026'!E32='Inputs 2026'!D32,1,0)</f>
        <v>0</v>
      </c>
      <c r="V32" s="0" t="e">
        <f aca="false">IF('Inputs 2026'!E32,1,2)</f>
        <v>#VALUE!</v>
      </c>
      <c r="W32" s="0" t="n">
        <f aca="false">IF('Inputs 2026'!B32&gt;0,IF('Inputs 2026'!C32&gt;0,1,2),3)</f>
        <v>1</v>
      </c>
      <c r="X32" s="0" t="n">
        <f aca="false">SUM('Inputs 2026'!E32,'Inputs 2026'!B32,5)</f>
        <v>6</v>
      </c>
      <c r="Y32" s="0" t="n">
        <f aca="false">MAX('Inputs 2026'!B32:C32,10)-MIN('Inputs 2026'!D32,'Inputs 2026'!E32)</f>
        <v>9.9</v>
      </c>
    </row>
    <row r="33" customFormat="false" ht="12.8" hidden="false" customHeight="false" outlineLevel="0" collapsed="false">
      <c r="A33" s="0" t="s">
        <v>38</v>
      </c>
      <c r="B33" s="0" t="n">
        <f aca="false">'Inputs 2026'!B33+'Inputs 2026'!C33*'Inputs 2026'!D33</f>
        <v>100</v>
      </c>
      <c r="C33" s="0" t="e">
        <f aca="false">('Inputs 2026'!B33-'Inputs 2026'!C33)/'Inputs 2026'!D33</f>
        <v>#DIV/0!</v>
      </c>
      <c r="D33" s="0" t="n">
        <f aca="false">SUM('Inputs 2026'!B33:D33)</f>
        <v>717.06</v>
      </c>
      <c r="E33" s="0" t="n">
        <f aca="false">AVERAGE('Inputs 2026'!B33:E33)</f>
        <v>239.02</v>
      </c>
      <c r="F33" s="0" t="n">
        <f aca="false">MIN('Inputs 2026'!B33:E33)</f>
        <v>0</v>
      </c>
      <c r="G33" s="0" t="n">
        <f aca="false">MAX('Inputs 2026'!B33:E33)</f>
        <v>617.06</v>
      </c>
      <c r="H33" s="0" t="n">
        <f aca="false">COUNT('Inputs 2026'!B33:E33)</f>
        <v>3</v>
      </c>
      <c r="I33" s="0" t="n">
        <f aca="false">ROUND('Inputs 2026'!B33/7,2)</f>
        <v>14.29</v>
      </c>
      <c r="J33" s="0" t="n">
        <f aca="false">ROUND('Inputs 2026'!C33*1.005,2)</f>
        <v>620.15</v>
      </c>
      <c r="K33" s="0" t="n">
        <f aca="false">ROUND('Inputs 2026'!D33*1234.5678,-2)</f>
        <v>0</v>
      </c>
      <c r="L33" s="0" t="n">
        <f aca="false">IF('Inputs 2026'!B33&gt;'Inputs 2026'!C33,'Inputs 2026'!B33,'Inputs 2026'!C33*2)</f>
        <v>1234.12</v>
      </c>
      <c r="M33" s="0" t="n">
        <f aca="false">IF('Inputs 2026'!B33='Inputs 2026'!C33,1,0)</f>
        <v>0</v>
      </c>
      <c r="N33" s="0" t="n">
        <f aca="false">IF('Inputs 2026'!D33&lt;&gt;0,'Inputs 2026'!B33/'Inputs 2026'!D33,0)</f>
        <v>0</v>
      </c>
      <c r="O33" s="0" t="n">
        <f aca="false">-'Inputs 2026'!B33%*50%</f>
        <v>-0.5</v>
      </c>
      <c r="P33" s="0" t="e">
        <f aca="false">C33*2+D33</f>
        <v>#DIV/0!</v>
      </c>
      <c r="Q33" s="0" t="e">
        <f aca="false">SUM($C$2:C33)</f>
        <v>#DIV/0!</v>
      </c>
      <c r="R33" s="0" t="e">
        <f aca="false">$D$2+P33</f>
        <v>#DIV/0!</v>
      </c>
      <c r="S33" s="0" t="n">
        <f aca="false">COUNT(B33:Q33)</f>
        <v>13</v>
      </c>
      <c r="T33" s="0" t="n">
        <f aca="false">IF('Inputs 2026'!E33&gt;5,1,0)</f>
        <v>0</v>
      </c>
      <c r="U33" s="0" t="n">
        <f aca="false">IF('Inputs 2026'!E33='Inputs 2026'!D33,1,0)</f>
        <v>1</v>
      </c>
      <c r="V33" s="0" t="n">
        <f aca="false">IF('Inputs 2026'!E33,1,2)</f>
        <v>2</v>
      </c>
      <c r="W33" s="0" t="n">
        <f aca="false">IF('Inputs 2026'!B33&gt;0,IF('Inputs 2026'!C33&gt;0,1,2),3)</f>
        <v>1</v>
      </c>
      <c r="X33" s="0" t="n">
        <f aca="false">SUM('Inputs 2026'!E33,'Inputs 2026'!B33,5)</f>
        <v>105</v>
      </c>
      <c r="Y33" s="0" t="n">
        <f aca="false">MAX('Inputs 2026'!B33:C33,10)-MIN('Inputs 2026'!D33,'Inputs 2026'!E33)</f>
        <v>617.06</v>
      </c>
    </row>
    <row r="34" customFormat="false" ht="12.8" hidden="false" customHeight="false" outlineLevel="0" collapsed="false">
      <c r="A34" s="0" t="s">
        <v>39</v>
      </c>
      <c r="B34" s="0" t="n">
        <f aca="false">'Inputs 2026'!B34+'Inputs 2026'!C34*'Inputs 2026'!D34</f>
        <v>-119.227</v>
      </c>
      <c r="C34" s="0" t="n">
        <f aca="false">('Inputs 2026'!B34-'Inputs 2026'!C34)/'Inputs 2026'!D34</f>
        <v>3010.825</v>
      </c>
      <c r="D34" s="0" t="n">
        <f aca="false">SUM('Inputs 2026'!B34:D34)</f>
        <v>-599.955</v>
      </c>
      <c r="E34" s="0" t="n">
        <f aca="false">AVERAGE('Inputs 2026'!B34:E34)</f>
        <v>-199.985</v>
      </c>
      <c r="F34" s="0" t="n">
        <f aca="false">MIN('Inputs 2026'!B34:E34)</f>
        <v>-601.16</v>
      </c>
      <c r="G34" s="0" t="n">
        <f aca="false">MAX('Inputs 2026'!B34:E34)</f>
        <v>1.005</v>
      </c>
      <c r="H34" s="0" t="n">
        <f aca="false">COUNT('Inputs 2026'!B34:E34)</f>
        <v>3</v>
      </c>
      <c r="I34" s="0" t="n">
        <f aca="false">ROUND('Inputs 2026'!B34/7,2)</f>
        <v>0.14</v>
      </c>
      <c r="J34" s="0" t="n">
        <f aca="false">ROUND('Inputs 2026'!C34*1.005,2)</f>
        <v>-604.17</v>
      </c>
      <c r="K34" s="0" t="n">
        <f aca="false">ROUND('Inputs 2026'!D34*1234.5678,-2)</f>
        <v>200</v>
      </c>
      <c r="L34" s="0" t="n">
        <f aca="false">IF('Inputs 2026'!B34&gt;'Inputs 2026'!C34,'Inputs 2026'!B34,'Inputs 2026'!C34*2)</f>
        <v>1.005</v>
      </c>
      <c r="M34" s="0" t="n">
        <f aca="false">IF('Inputs 2026'!B34='Inputs 2026'!C34,1,0)</f>
        <v>0</v>
      </c>
      <c r="N34" s="0" t="n">
        <f aca="false">IF('Inputs 2026'!D34&lt;&gt;0,'Inputs 2026'!B34/'Inputs 2026'!D34,0)</f>
        <v>5.025</v>
      </c>
      <c r="O34" s="0" t="n">
        <f aca="false">-'Inputs 2026'!B34%*50%</f>
        <v>-0.005025</v>
      </c>
      <c r="P34" s="0" t="n">
        <f aca="false">C34*2+D34</f>
        <v>5421.695</v>
      </c>
      <c r="Q34" s="0" t="e">
        <f aca="false">SUM($C$2:C34)</f>
        <v>#DIV/0!</v>
      </c>
      <c r="R34" s="0" t="n">
        <f aca="false">$D$2+P34</f>
        <v>5423.37</v>
      </c>
      <c r="S34" s="0" t="n">
        <f aca="false">COUNT(B34:Q34)</f>
        <v>15</v>
      </c>
      <c r="T34" s="0" t="n">
        <f aca="false">IF('Inputs 2026'!E34&gt;5,1,0)</f>
        <v>1</v>
      </c>
      <c r="U34" s="0" t="n">
        <f aca="false">IF('Inputs 2026'!E34='Inputs 2026'!D34,1,0)</f>
        <v>0</v>
      </c>
      <c r="V34" s="0" t="e">
        <f aca="false">IF('Inputs 2026'!E34,1,2)</f>
        <v>#VALUE!</v>
      </c>
      <c r="W34" s="0" t="n">
        <f aca="false">IF('Inputs 2026'!B34&gt;0,IF('Inputs 2026'!C34&gt;0,1,2),3)</f>
        <v>2</v>
      </c>
      <c r="X34" s="0" t="n">
        <f aca="false">SUM('Inputs 2026'!E34,'Inputs 2026'!B34,5)</f>
        <v>6.005</v>
      </c>
      <c r="Y34" s="0" t="n">
        <f aca="false">MAX('Inputs 2026'!B34:C34,10)-MIN('Inputs 2026'!D34,'Inputs 2026'!E34)</f>
        <v>9.8</v>
      </c>
    </row>
    <row r="35" customFormat="false" ht="12.8" hidden="false" customHeight="false" outlineLevel="0" collapsed="false">
      <c r="A35" s="0" t="s">
        <v>40</v>
      </c>
      <c r="B35" s="0" t="n">
        <f aca="false">'Inputs 2026'!B35+'Inputs 2026'!C35*'Inputs 2026'!D35</f>
        <v>3210</v>
      </c>
      <c r="C35" s="0" t="n">
        <f aca="false">('Inputs 2026'!B35-'Inputs 2026'!C35)/'Inputs 2026'!D35</f>
        <v>-2.8125</v>
      </c>
      <c r="D35" s="0" t="n">
        <f aca="false">SUM('Inputs 2026'!B35:D35)</f>
        <v>142</v>
      </c>
      <c r="E35" s="0" t="n">
        <f aca="false">AVERAGE('Inputs 2026'!B35:E35)</f>
        <v>47.3333333333333</v>
      </c>
      <c r="F35" s="0" t="n">
        <f aca="false">MIN('Inputs 2026'!B35:E35)</f>
        <v>10</v>
      </c>
      <c r="G35" s="0" t="n">
        <f aca="false">MAX('Inputs 2026'!B35:E35)</f>
        <v>100</v>
      </c>
      <c r="H35" s="0" t="n">
        <f aca="false">COUNT('Inputs 2026'!B35:E35)</f>
        <v>3</v>
      </c>
      <c r="I35" s="0" t="n">
        <f aca="false">ROUND('Inputs 2026'!B35/7,2)</f>
        <v>1.43</v>
      </c>
      <c r="J35" s="0" t="n">
        <f aca="false">ROUND('Inputs 2026'!C35*1.005,2)</f>
        <v>100.5</v>
      </c>
      <c r="K35" s="0" t="n">
        <f aca="false">ROUND('Inputs 2026'!D35*1234.5678,-2)</f>
        <v>39500</v>
      </c>
      <c r="L35" s="0" t="n">
        <f aca="false">IF('Inputs 2026'!B35&gt;'Inputs 2026'!C35,'Inputs 2026'!B35,'Inputs 2026'!C35*2)</f>
        <v>200</v>
      </c>
      <c r="M35" s="0" t="n">
        <f aca="false">IF('Inputs 2026'!B35='Inputs 2026'!C35,1,0)</f>
        <v>0</v>
      </c>
      <c r="N35" s="0" t="n">
        <f aca="false">IF('Inputs 2026'!D35&lt;&gt;0,'Inputs 2026'!B35/'Inputs 2026'!D35,0)</f>
        <v>0.3125</v>
      </c>
      <c r="O35" s="0" t="n">
        <f aca="false">-'Inputs 2026'!B35%*50%</f>
        <v>-0.05</v>
      </c>
      <c r="P35" s="0" t="n">
        <f aca="false">C35*2+D35</f>
        <v>136.375</v>
      </c>
      <c r="Q35" s="0" t="e">
        <f aca="false">SUM($C$2:C35)</f>
        <v>#DIV/0!</v>
      </c>
      <c r="R35" s="0" t="n">
        <f aca="false">$D$2+P35</f>
        <v>138.05</v>
      </c>
      <c r="S35" s="0" t="n">
        <f aca="false">COUNT(B35:Q35)</f>
        <v>15</v>
      </c>
      <c r="T35" s="0" t="n">
        <f aca="false">IF('Inputs 2026'!E35&gt;5,1,0)</f>
        <v>0</v>
      </c>
      <c r="U35" s="0" t="n">
        <f aca="false">IF('Inputs 2026'!E35='Inputs 2026'!D35,1,0)</f>
        <v>0</v>
      </c>
      <c r="V35" s="0" t="n">
        <f aca="false">IF('Inputs 2026'!E35,1,2)</f>
        <v>2</v>
      </c>
      <c r="W35" s="0" t="n">
        <f aca="false">IF('Inputs 2026'!B35&gt;0,IF('Inputs 2026'!C35&gt;0,1,2),3)</f>
        <v>1</v>
      </c>
      <c r="X35" s="0" t="n">
        <f aca="false">SUM('Inputs 2026'!E35,'Inputs 2026'!B35,5)</f>
        <v>15</v>
      </c>
      <c r="Y35" s="0" t="n">
        <f aca="false">MAX('Inputs 2026'!B35:C35,10)-MIN('Inputs 2026'!D35,'Inputs 2026'!E35)</f>
        <v>68</v>
      </c>
    </row>
    <row r="36" customFormat="false" ht="12.8" hidden="false" customHeight="false" outlineLevel="0" collapsed="false">
      <c r="A36" s="0" t="s">
        <v>41</v>
      </c>
      <c r="B36" s="0" t="n">
        <f aca="false">'Inputs 2026'!B36+'Inputs 2026'!C36*'Inputs 2026'!D36</f>
        <v>1.005</v>
      </c>
      <c r="C36" s="0" t="e">
        <f aca="false">('Inputs 2026'!B36-'Inputs 2026'!C36)/'Inputs 2026'!D36</f>
        <v>#DIV/0!</v>
      </c>
      <c r="D36" s="0" t="n">
        <f aca="false">SUM('Inputs 2026'!B36:D36)</f>
        <v>-18.985</v>
      </c>
      <c r="E36" s="0" t="n">
        <f aca="false">AVERAGE('Inputs 2026'!B36:E36)</f>
        <v>27.005</v>
      </c>
      <c r="F36" s="0" t="n">
        <f aca="false">MIN('Inputs 2026'!B36:E36)</f>
        <v>-19.99</v>
      </c>
      <c r="G36" s="0" t="n">
        <f aca="false">MAX('Inputs 2026'!B36:E36)</f>
        <v>100</v>
      </c>
      <c r="H36" s="0" t="n">
        <f aca="false">COUNT('Inputs 2026'!B36:E36)</f>
        <v>3</v>
      </c>
      <c r="I36" s="0" t="n">
        <f aca="false">ROUND('Inputs 2026'!B36/7,2)</f>
        <v>0.14</v>
      </c>
      <c r="J36" s="0" t="n">
        <f aca="false">ROUND('Inputs 2026'!C36*1.005,2)</f>
        <v>-20.09</v>
      </c>
      <c r="K36" s="0" t="n">
        <f aca="false">ROUND('Inputs 2026'!D36*1234.5678,-2)</f>
        <v>0</v>
      </c>
      <c r="L36" s="0" t="n">
        <f aca="false">IF('Inputs 2026'!B36&gt;'Inputs 2026'!C36,'Inputs 2026'!B36,'Inputs 2026'!C36*2)</f>
        <v>1.005</v>
      </c>
      <c r="M36" s="0" t="n">
        <f aca="false">IF('Inputs 2026'!B36='Inputs 2026'!C36,1,0)</f>
        <v>0</v>
      </c>
      <c r="N36" s="0" t="n">
        <f aca="false">IF('Inputs 2026'!D36&lt;&gt;0,'Inputs 2026'!B36/'Inputs 2026'!D36,0)</f>
        <v>0</v>
      </c>
      <c r="O36" s="0" t="n">
        <f aca="false">-'Inputs 2026'!B36%*50%</f>
        <v>-0.005025</v>
      </c>
      <c r="P36" s="0" t="e">
        <f aca="false">C36*2+D36</f>
        <v>#DIV/0!</v>
      </c>
      <c r="Q36" s="0" t="e">
        <f aca="false">SUM($C$2:C36)</f>
        <v>#DIV/0!</v>
      </c>
      <c r="R36" s="0" t="e">
        <f aca="false">$D$2+P36</f>
        <v>#DIV/0!</v>
      </c>
      <c r="S36" s="0" t="n">
        <f aca="false">COUNT(B36:Q36)</f>
        <v>13</v>
      </c>
      <c r="T36" s="0" t="n">
        <f aca="false">IF('Inputs 2026'!E36&gt;5,1,0)</f>
        <v>1</v>
      </c>
      <c r="U36" s="0" t="n">
        <f aca="false">IF('Inputs 2026'!E36='Inputs 2026'!D36,1,0)</f>
        <v>0</v>
      </c>
      <c r="V36" s="0" t="n">
        <f aca="false">IF('Inputs 2026'!E36,1,2)</f>
        <v>1</v>
      </c>
      <c r="W36" s="0" t="n">
        <f aca="false">IF('Inputs 2026'!B36&gt;0,IF('Inputs 2026'!C36&gt;0,1,2),3)</f>
        <v>2</v>
      </c>
      <c r="X36" s="0" t="n">
        <f aca="false">SUM('Inputs 2026'!E36,'Inputs 2026'!B36,5)</f>
        <v>106.005</v>
      </c>
      <c r="Y36" s="0" t="n">
        <f aca="false">MAX('Inputs 2026'!B36:C36,10)-MIN('Inputs 2026'!D36,'Inputs 2026'!E36)</f>
        <v>-90</v>
      </c>
    </row>
    <row r="37" customFormat="false" ht="12.8" hidden="false" customHeight="false" outlineLevel="0" collapsed="false">
      <c r="A37" s="0" t="s">
        <v>42</v>
      </c>
      <c r="B37" s="0" t="n">
        <f aca="false">'Inputs 2026'!B37+'Inputs 2026'!C37*'Inputs 2026'!D37</f>
        <v>198.4</v>
      </c>
      <c r="C37" s="0" t="n">
        <f aca="false">('Inputs 2026'!B37-'Inputs 2026'!C37)/'Inputs 2026'!D37</f>
        <v>3920</v>
      </c>
      <c r="D37" s="0" t="n">
        <f aca="false">SUM('Inputs 2026'!B37:D37)</f>
        <v>-191.8</v>
      </c>
      <c r="E37" s="0" t="n">
        <f aca="false">AVERAGE('Inputs 2026'!B37:E37)</f>
        <v>-63.9333333333333</v>
      </c>
      <c r="F37" s="0" t="n">
        <f aca="false">MIN('Inputs 2026'!B37:E37)</f>
        <v>-488</v>
      </c>
      <c r="G37" s="0" t="n">
        <f aca="false">MAX('Inputs 2026'!B37:E37)</f>
        <v>296</v>
      </c>
      <c r="H37" s="0" t="n">
        <f aca="false">COUNT('Inputs 2026'!B37:E37)</f>
        <v>3</v>
      </c>
      <c r="I37" s="0" t="n">
        <f aca="false">ROUND('Inputs 2026'!B37/7,2)</f>
        <v>42.29</v>
      </c>
      <c r="J37" s="0" t="n">
        <f aca="false">ROUND('Inputs 2026'!C37*1.005,2)</f>
        <v>-490.44</v>
      </c>
      <c r="K37" s="0" t="n">
        <f aca="false">ROUND('Inputs 2026'!D37*1234.5678,-2)</f>
        <v>200</v>
      </c>
      <c r="L37" s="0" t="n">
        <f aca="false">IF('Inputs 2026'!B37&gt;'Inputs 2026'!C37,'Inputs 2026'!B37,'Inputs 2026'!C37*2)</f>
        <v>296</v>
      </c>
      <c r="M37" s="0" t="n">
        <f aca="false">IF('Inputs 2026'!B37='Inputs 2026'!C37,1,0)</f>
        <v>0</v>
      </c>
      <c r="N37" s="0" t="n">
        <f aca="false">IF('Inputs 2026'!D37&lt;&gt;0,'Inputs 2026'!B37/'Inputs 2026'!D37,0)</f>
        <v>1480</v>
      </c>
      <c r="O37" s="0" t="n">
        <f aca="false">-'Inputs 2026'!B37%*50%</f>
        <v>-1.48</v>
      </c>
      <c r="P37" s="0" t="n">
        <f aca="false">C37*2+D37</f>
        <v>7648.2</v>
      </c>
      <c r="Q37" s="0" t="e">
        <f aca="false">SUM($C$2:C37)</f>
        <v>#DIV/0!</v>
      </c>
      <c r="R37" s="0" t="n">
        <f aca="false">$D$2+P37</f>
        <v>7649.875</v>
      </c>
      <c r="S37" s="0" t="n">
        <f aca="false">COUNT(B37:Q37)</f>
        <v>15</v>
      </c>
      <c r="T37" s="0" t="n">
        <f aca="false">IF('Inputs 2026'!E37&gt;5,1,0)</f>
        <v>0</v>
      </c>
      <c r="U37" s="0" t="n">
        <f aca="false">IF('Inputs 2026'!E37='Inputs 2026'!D37,1,0)</f>
        <v>0</v>
      </c>
      <c r="V37" s="0" t="n">
        <f aca="false">IF('Inputs 2026'!E37,1,2)</f>
        <v>2</v>
      </c>
      <c r="W37" s="0" t="n">
        <f aca="false">IF('Inputs 2026'!B37&gt;0,IF('Inputs 2026'!C37&gt;0,1,2),3)</f>
        <v>2</v>
      </c>
      <c r="X37" s="0" t="n">
        <f aca="false">SUM('Inputs 2026'!E37,'Inputs 2026'!B37,5)</f>
        <v>301</v>
      </c>
      <c r="Y37" s="0" t="n">
        <f aca="false">MAX('Inputs 2026'!B37:C37,10)-MIN('Inputs 2026'!D37,'Inputs 2026'!E37)</f>
        <v>295.8</v>
      </c>
    </row>
    <row r="38" customFormat="false" ht="12.8" hidden="false" customHeight="false" outlineLevel="0" collapsed="false">
      <c r="A38" s="0" t="s">
        <v>43</v>
      </c>
      <c r="B38" s="0" t="n">
        <f aca="false">'Inputs 2026'!B38+'Inputs 2026'!C38*'Inputs 2026'!D38</f>
        <v>44.99</v>
      </c>
      <c r="C38" s="0" t="n">
        <f aca="false">('Inputs 2026'!B38-'Inputs 2026'!C38)/'Inputs 2026'!D38</f>
        <v>-44.99</v>
      </c>
      <c r="D38" s="0" t="n">
        <f aca="false">SUM('Inputs 2026'!B38:D38)</f>
        <v>4.01</v>
      </c>
      <c r="E38" s="0" t="n">
        <f aca="false">AVERAGE('Inputs 2026'!B38:E38)</f>
        <v>1.33666666666667</v>
      </c>
      <c r="F38" s="0" t="n">
        <f aca="false">MIN('Inputs 2026'!B38:E38)</f>
        <v>-19.99</v>
      </c>
      <c r="G38" s="0" t="n">
        <f aca="false">MAX('Inputs 2026'!B38:E38)</f>
        <v>25</v>
      </c>
      <c r="H38" s="0" t="n">
        <f aca="false">COUNT('Inputs 2026'!B38:E38)</f>
        <v>3</v>
      </c>
      <c r="I38" s="0" t="n">
        <f aca="false">ROUND('Inputs 2026'!B38/7,2)</f>
        <v>3.57</v>
      </c>
      <c r="J38" s="0" t="n">
        <f aca="false">ROUND('Inputs 2026'!C38*1.005,2)</f>
        <v>-20.09</v>
      </c>
      <c r="K38" s="0" t="n">
        <f aca="false">ROUND('Inputs 2026'!D38*1234.5678,-2)</f>
        <v>-1200</v>
      </c>
      <c r="L38" s="0" t="n">
        <f aca="false">IF('Inputs 2026'!B38&gt;'Inputs 2026'!C38,'Inputs 2026'!B38,'Inputs 2026'!C38*2)</f>
        <v>25</v>
      </c>
      <c r="M38" s="0" t="n">
        <f aca="false">IF('Inputs 2026'!B38='Inputs 2026'!C38,1,0)</f>
        <v>0</v>
      </c>
      <c r="N38" s="0" t="n">
        <f aca="false">IF('Inputs 2026'!D38&lt;&gt;0,'Inputs 2026'!B38/'Inputs 2026'!D38,0)</f>
        <v>-25</v>
      </c>
      <c r="O38" s="0" t="n">
        <f aca="false">-'Inputs 2026'!B38%*50%</f>
        <v>-0.125</v>
      </c>
      <c r="P38" s="0" t="n">
        <f aca="false">C38*2+D38</f>
        <v>-85.97</v>
      </c>
      <c r="Q38" s="0" t="e">
        <f aca="false">SUM($C$2:C38)</f>
        <v>#DIV/0!</v>
      </c>
      <c r="R38" s="0" t="n">
        <f aca="false">$D$2+P38</f>
        <v>-84.295</v>
      </c>
      <c r="S38" s="0" t="n">
        <f aca="false">COUNT(B38:Q38)</f>
        <v>15</v>
      </c>
      <c r="T38" s="0" t="n">
        <f aca="false">IF('Inputs 2026'!E38&gt;5,1,0)</f>
        <v>1</v>
      </c>
      <c r="U38" s="0" t="n">
        <f aca="false">IF('Inputs 2026'!E38='Inputs 2026'!D38,1,0)</f>
        <v>0</v>
      </c>
      <c r="V38" s="0" t="e">
        <f aca="false">IF('Inputs 2026'!E38,1,2)</f>
        <v>#VALUE!</v>
      </c>
      <c r="W38" s="0" t="n">
        <f aca="false">IF('Inputs 2026'!B38&gt;0,IF('Inputs 2026'!C38&gt;0,1,2),3)</f>
        <v>2</v>
      </c>
      <c r="X38" s="0" t="n">
        <f aca="false">SUM('Inputs 2026'!E38,'Inputs 2026'!B38,5)</f>
        <v>30</v>
      </c>
      <c r="Y38" s="0" t="n">
        <f aca="false">MAX('Inputs 2026'!B38:C38,10)-MIN('Inputs 2026'!D38,'Inputs 2026'!E38)</f>
        <v>26</v>
      </c>
    </row>
    <row r="39" customFormat="false" ht="12.8" hidden="false" customHeight="false" outlineLevel="0" collapsed="false">
      <c r="A39" s="0" t="s">
        <v>44</v>
      </c>
      <c r="B39" s="0" t="n">
        <f aca="false">'Inputs 2026'!B39+'Inputs 2026'!C39*'Inputs 2026'!D39</f>
        <v>5.5</v>
      </c>
      <c r="C39" s="0" t="n">
        <f aca="false">('Inputs 2026'!B39-'Inputs 2026'!C39)/'Inputs 2026'!D39</f>
        <v>-220</v>
      </c>
      <c r="D39" s="0" t="n">
        <f aca="false">SUM('Inputs 2026'!B39:D39)</f>
        <v>28.1</v>
      </c>
      <c r="E39" s="0" t="n">
        <f aca="false">AVERAGE('Inputs 2026'!B39:E39)</f>
        <v>9.36666666666667</v>
      </c>
      <c r="F39" s="0" t="n">
        <f aca="false">MIN('Inputs 2026'!B39:E39)</f>
        <v>0.1</v>
      </c>
      <c r="G39" s="0" t="n">
        <f aca="false">MAX('Inputs 2026'!B39:E39)</f>
        <v>25</v>
      </c>
      <c r="H39" s="0" t="n">
        <f aca="false">COUNT('Inputs 2026'!B39:E39)</f>
        <v>3</v>
      </c>
      <c r="I39" s="0" t="n">
        <f aca="false">ROUND('Inputs 2026'!B39/7,2)</f>
        <v>0.43</v>
      </c>
      <c r="J39" s="0" t="n">
        <f aca="false">ROUND('Inputs 2026'!C39*1.005,2)</f>
        <v>25.13</v>
      </c>
      <c r="K39" s="0" t="n">
        <f aca="false">ROUND('Inputs 2026'!D39*1234.5678,-2)</f>
        <v>100</v>
      </c>
      <c r="L39" s="0" t="n">
        <f aca="false">IF('Inputs 2026'!B39&gt;'Inputs 2026'!C39,'Inputs 2026'!B39,'Inputs 2026'!C39*2)</f>
        <v>50</v>
      </c>
      <c r="M39" s="0" t="n">
        <f aca="false">IF('Inputs 2026'!B39='Inputs 2026'!C39,1,0)</f>
        <v>0</v>
      </c>
      <c r="N39" s="0" t="n">
        <f aca="false">IF('Inputs 2026'!D39&lt;&gt;0,'Inputs 2026'!B39/'Inputs 2026'!D39,0)</f>
        <v>30</v>
      </c>
      <c r="O39" s="0" t="n">
        <f aca="false">-'Inputs 2026'!B39%*50%</f>
        <v>-0.015</v>
      </c>
      <c r="P39" s="0" t="n">
        <f aca="false">C39*2+D39</f>
        <v>-411.9</v>
      </c>
      <c r="Q39" s="0" t="e">
        <f aca="false">SUM($C$2:C39)</f>
        <v>#DIV/0!</v>
      </c>
      <c r="R39" s="0" t="n">
        <f aca="false">$D$2+P39</f>
        <v>-410.225</v>
      </c>
      <c r="S39" s="0" t="n">
        <f aca="false">COUNT(B39:Q39)</f>
        <v>15</v>
      </c>
      <c r="T39" s="0" t="n">
        <f aca="false">IF('Inputs 2026'!E39&gt;5,1,0)</f>
        <v>1</v>
      </c>
      <c r="U39" s="0" t="n">
        <f aca="false">IF('Inputs 2026'!E39='Inputs 2026'!D39,1,0)</f>
        <v>0</v>
      </c>
      <c r="V39" s="0" t="e">
        <f aca="false">IF('Inputs 2026'!E39,1,2)</f>
        <v>#VALUE!</v>
      </c>
      <c r="W39" s="0" t="n">
        <f aca="false">IF('Inputs 2026'!B39&gt;0,IF('Inputs 2026'!C39&gt;0,1,2),3)</f>
        <v>1</v>
      </c>
      <c r="X39" s="0" t="n">
        <f aca="false">SUM('Inputs 2026'!E39,'Inputs 2026'!B39,5)</f>
        <v>8</v>
      </c>
      <c r="Y39" s="0" t="n">
        <f aca="false">MAX('Inputs 2026'!B39:C39,10)-MIN('Inputs 2026'!D39,'Inputs 2026'!E39)</f>
        <v>24.9</v>
      </c>
    </row>
    <row r="40" customFormat="false" ht="12.8" hidden="false" customHeight="false" outlineLevel="0" collapsed="false">
      <c r="A40" s="0" t="s">
        <v>45</v>
      </c>
      <c r="B40" s="0" t="n">
        <f aca="false">'Inputs 2026'!B40+'Inputs 2026'!C40*'Inputs 2026'!D40</f>
        <v>-1</v>
      </c>
      <c r="C40" s="0" t="n">
        <f aca="false">('Inputs 2026'!B40-'Inputs 2026'!C40)/'Inputs 2026'!D40</f>
        <v>-0.373831775700935</v>
      </c>
      <c r="D40" s="0" t="n">
        <f aca="false">SUM('Inputs 2026'!B40:D40)</f>
        <v>1.675</v>
      </c>
      <c r="E40" s="0" t="n">
        <f aca="false">AVERAGE('Inputs 2026'!B40:E40)</f>
        <v>0.46875</v>
      </c>
      <c r="F40" s="0" t="n">
        <f aca="false">MIN('Inputs 2026'!B40:E40)</f>
        <v>-1</v>
      </c>
      <c r="G40" s="0" t="n">
        <f aca="false">MAX('Inputs 2026'!B40:E40)</f>
        <v>2.675</v>
      </c>
      <c r="H40" s="0" t="n">
        <f aca="false">COUNT('Inputs 2026'!B40:E40)</f>
        <v>4</v>
      </c>
      <c r="I40" s="0" t="n">
        <f aca="false">ROUND('Inputs 2026'!B40/7,2)</f>
        <v>-0.14</v>
      </c>
      <c r="J40" s="0" t="n">
        <f aca="false">ROUND('Inputs 2026'!C40*1.005,2)</f>
        <v>0</v>
      </c>
      <c r="K40" s="0" t="n">
        <f aca="false">ROUND('Inputs 2026'!D40*1234.5678,-2)</f>
        <v>3300</v>
      </c>
      <c r="L40" s="0" t="n">
        <f aca="false">IF('Inputs 2026'!B40&gt;'Inputs 2026'!C40,'Inputs 2026'!B40,'Inputs 2026'!C40*2)</f>
        <v>0</v>
      </c>
      <c r="M40" s="0" t="n">
        <f aca="false">IF('Inputs 2026'!B40='Inputs 2026'!C40,1,0)</f>
        <v>0</v>
      </c>
      <c r="N40" s="0" t="n">
        <f aca="false">IF('Inputs 2026'!D40&lt;&gt;0,'Inputs 2026'!B40/'Inputs 2026'!D40,0)</f>
        <v>-0.373831775700935</v>
      </c>
      <c r="O40" s="0" t="n">
        <f aca="false">-'Inputs 2026'!B40%*50%</f>
        <v>0.005</v>
      </c>
      <c r="P40" s="0" t="n">
        <f aca="false">C40*2+D40</f>
        <v>0.927336448598131</v>
      </c>
      <c r="Q40" s="0" t="e">
        <f aca="false">SUM($C$2:C40)</f>
        <v>#DIV/0!</v>
      </c>
      <c r="R40" s="0" t="n">
        <f aca="false">$D$2+P40</f>
        <v>2.60233644859813</v>
      </c>
      <c r="S40" s="0" t="n">
        <f aca="false">COUNT(B40:Q40)</f>
        <v>15</v>
      </c>
      <c r="T40" s="0" t="n">
        <f aca="false">IF('Inputs 2026'!E40&gt;5,1,0)</f>
        <v>0</v>
      </c>
      <c r="U40" s="0" t="n">
        <f aca="false">IF('Inputs 2026'!E40='Inputs 2026'!D40,1,0)</f>
        <v>0</v>
      </c>
      <c r="V40" s="0" t="n">
        <f aca="false">IF('Inputs 2026'!E40,1,2)</f>
        <v>1</v>
      </c>
      <c r="W40" s="0" t="n">
        <f aca="false">IF('Inputs 2026'!B40&gt;0,IF('Inputs 2026'!C40&gt;0,1,2),3)</f>
        <v>3</v>
      </c>
      <c r="X40" s="0" t="n">
        <f aca="false">SUM('Inputs 2026'!E40,'Inputs 2026'!B40,5)</f>
        <v>4.2</v>
      </c>
      <c r="Y40" s="0" t="n">
        <f aca="false">MAX('Inputs 2026'!B40:C40,10)-MIN('Inputs 2026'!D40,'Inputs 2026'!E40)</f>
        <v>9.8</v>
      </c>
    </row>
    <row r="41" customFormat="false" ht="12.8" hidden="false" customHeight="false" outlineLevel="0" collapsed="false">
      <c r="A41" s="0" t="s">
        <v>46</v>
      </c>
      <c r="B41" s="0" t="n">
        <f aca="false">'Inputs 2026'!B41+'Inputs 2026'!C41*'Inputs 2026'!D41</f>
        <v>-99.75</v>
      </c>
      <c r="C41" s="0" t="n">
        <f aca="false">('Inputs 2026'!B41-'Inputs 2026'!C41)/'Inputs 2026'!D41</f>
        <v>6.1875</v>
      </c>
      <c r="D41" s="0" t="n">
        <f aca="false">SUM('Inputs 2026'!B41:D41)</f>
        <v>21.25</v>
      </c>
      <c r="E41" s="0" t="n">
        <f aca="false">AVERAGE('Inputs 2026'!B41:E41)</f>
        <v>7.8125</v>
      </c>
      <c r="F41" s="0" t="n">
        <f aca="false">MIN('Inputs 2026'!B41:E41)</f>
        <v>-4</v>
      </c>
      <c r="G41" s="0" t="n">
        <f aca="false">MAX('Inputs 2026'!B41:E41)</f>
        <v>25</v>
      </c>
      <c r="H41" s="0" t="n">
        <f aca="false">COUNT('Inputs 2026'!B41:E41)</f>
        <v>4</v>
      </c>
      <c r="I41" s="0" t="n">
        <f aca="false">ROUND('Inputs 2026'!B41/7,2)</f>
        <v>0.04</v>
      </c>
      <c r="J41" s="0" t="n">
        <f aca="false">ROUND('Inputs 2026'!C41*1.005,2)</f>
        <v>25.13</v>
      </c>
      <c r="K41" s="0" t="n">
        <f aca="false">ROUND('Inputs 2026'!D41*1234.5678,-2)</f>
        <v>-4900</v>
      </c>
      <c r="L41" s="0" t="n">
        <f aca="false">IF('Inputs 2026'!B41&gt;'Inputs 2026'!C41,'Inputs 2026'!B41,'Inputs 2026'!C41*2)</f>
        <v>50</v>
      </c>
      <c r="M41" s="0" t="n">
        <f aca="false">IF('Inputs 2026'!B41='Inputs 2026'!C41,1,0)</f>
        <v>0</v>
      </c>
      <c r="N41" s="0" t="n">
        <f aca="false">IF('Inputs 2026'!D41&lt;&gt;0,'Inputs 2026'!B41/'Inputs 2026'!D41,0)</f>
        <v>-0.0625</v>
      </c>
      <c r="O41" s="0" t="n">
        <f aca="false">-'Inputs 2026'!B41%*50%</f>
        <v>-0.00125</v>
      </c>
      <c r="P41" s="0" t="n">
        <f aca="false">C41*2+D41</f>
        <v>33.625</v>
      </c>
      <c r="Q41" s="0" t="e">
        <f aca="false">SUM($C$2:C41)</f>
        <v>#DIV/0!</v>
      </c>
      <c r="R41" s="0" t="n">
        <f aca="false">$D$2+P41</f>
        <v>35.3</v>
      </c>
      <c r="S41" s="0" t="n">
        <f aca="false">COUNT(B41:Q41)</f>
        <v>15</v>
      </c>
      <c r="T41" s="0" t="n">
        <f aca="false">IF('Inputs 2026'!E41&gt;5,1,0)</f>
        <v>1</v>
      </c>
      <c r="U41" s="0" t="n">
        <f aca="false">IF('Inputs 2026'!E41='Inputs 2026'!D41,1,0)</f>
        <v>0</v>
      </c>
      <c r="V41" s="0" t="n">
        <f aca="false">IF('Inputs 2026'!E41,1,2)</f>
        <v>1</v>
      </c>
      <c r="W41" s="0" t="n">
        <f aca="false">IF('Inputs 2026'!B41&gt;0,IF('Inputs 2026'!C41&gt;0,1,2),3)</f>
        <v>1</v>
      </c>
      <c r="X41" s="0" t="n">
        <f aca="false">SUM('Inputs 2026'!E41,'Inputs 2026'!B41,5)</f>
        <v>15.25</v>
      </c>
      <c r="Y41" s="0" t="n">
        <f aca="false">MAX('Inputs 2026'!B41:C41,10)-MIN('Inputs 2026'!D41,'Inputs 2026'!E41)</f>
        <v>29</v>
      </c>
    </row>
    <row r="42" customFormat="false" ht="12.8" hidden="false" customHeight="false" outlineLevel="0" collapsed="false">
      <c r="A42" s="0" t="s">
        <v>47</v>
      </c>
      <c r="B42" s="0" t="n">
        <f aca="false">'Inputs 2026'!B42+'Inputs 2026'!C42*'Inputs 2026'!D42</f>
        <v>-497.799</v>
      </c>
      <c r="C42" s="0" t="n">
        <f aca="false">('Inputs 2026'!B42-'Inputs 2026'!C42)/'Inputs 2026'!D42</f>
        <v>-495.721393034826</v>
      </c>
      <c r="D42" s="0" t="n">
        <f aca="false">SUM('Inputs 2026'!B42:D42)</f>
        <v>-496.795</v>
      </c>
      <c r="E42" s="0" t="n">
        <f aca="false">AVERAGE('Inputs 2026'!B42:E42)</f>
        <v>-165.598333333333</v>
      </c>
      <c r="F42" s="0" t="n">
        <f aca="false">MIN('Inputs 2026'!B42:E42)</f>
        <v>-498</v>
      </c>
      <c r="G42" s="0" t="n">
        <f aca="false">MAX('Inputs 2026'!B42:E42)</f>
        <v>1.005</v>
      </c>
      <c r="H42" s="0" t="n">
        <f aca="false">COUNT('Inputs 2026'!B42:E42)</f>
        <v>3</v>
      </c>
      <c r="I42" s="0" t="n">
        <f aca="false">ROUND('Inputs 2026'!B42/7,2)</f>
        <v>-71.14</v>
      </c>
      <c r="J42" s="0" t="n">
        <f aca="false">ROUND('Inputs 2026'!C42*1.005,2)</f>
        <v>0.2</v>
      </c>
      <c r="K42" s="0" t="n">
        <f aca="false">ROUND('Inputs 2026'!D42*1234.5678,-2)</f>
        <v>1200</v>
      </c>
      <c r="L42" s="0" t="n">
        <f aca="false">IF('Inputs 2026'!B42&gt;'Inputs 2026'!C42,'Inputs 2026'!B42,'Inputs 2026'!C42*2)</f>
        <v>0.4</v>
      </c>
      <c r="M42" s="0" t="n">
        <f aca="false">IF('Inputs 2026'!B42='Inputs 2026'!C42,1,0)</f>
        <v>0</v>
      </c>
      <c r="N42" s="0" t="n">
        <f aca="false">IF('Inputs 2026'!D42&lt;&gt;0,'Inputs 2026'!B42/'Inputs 2026'!D42,0)</f>
        <v>-495.522388059702</v>
      </c>
      <c r="O42" s="0" t="n">
        <f aca="false">-'Inputs 2026'!B42%*50%</f>
        <v>2.49</v>
      </c>
      <c r="P42" s="0" t="n">
        <f aca="false">C42*2+D42</f>
        <v>-1488.23778606965</v>
      </c>
      <c r="Q42" s="0" t="e">
        <f aca="false">SUM($C$2:C42)</f>
        <v>#DIV/0!</v>
      </c>
      <c r="R42" s="0" t="n">
        <f aca="false">$D$2+P42</f>
        <v>-1486.56278606965</v>
      </c>
      <c r="S42" s="0" t="n">
        <f aca="false">COUNT(B42:Q42)</f>
        <v>15</v>
      </c>
      <c r="T42" s="0" t="n">
        <f aca="false">IF('Inputs 2026'!E42&gt;5,1,0)</f>
        <v>1</v>
      </c>
      <c r="U42" s="0" t="n">
        <f aca="false">IF('Inputs 2026'!E42='Inputs 2026'!D42,1,0)</f>
        <v>0</v>
      </c>
      <c r="V42" s="0" t="e">
        <f aca="false">IF('Inputs 2026'!E42,1,2)</f>
        <v>#VALUE!</v>
      </c>
      <c r="W42" s="0" t="n">
        <f aca="false">IF('Inputs 2026'!B42&gt;0,IF('Inputs 2026'!C42&gt;0,1,2),3)</f>
        <v>3</v>
      </c>
      <c r="X42" s="0" t="n">
        <f aca="false">SUM('Inputs 2026'!E42,'Inputs 2026'!B42,5)</f>
        <v>-493</v>
      </c>
      <c r="Y42" s="0" t="n">
        <f aca="false">MAX('Inputs 2026'!B42:C42,10)-MIN('Inputs 2026'!D42,'Inputs 2026'!E42)</f>
        <v>8.995</v>
      </c>
    </row>
    <row r="43" customFormat="false" ht="12.8" hidden="false" customHeight="false" outlineLevel="0" collapsed="false">
      <c r="A43" s="0" t="s">
        <v>48</v>
      </c>
      <c r="B43" s="0" t="n">
        <f aca="false">'Inputs 2026'!B43+'Inputs 2026'!C43*'Inputs 2026'!D43</f>
        <v>1234.3678</v>
      </c>
      <c r="C43" s="0" t="n">
        <f aca="false">('Inputs 2026'!B43-'Inputs 2026'!C43)/'Inputs 2026'!D43</f>
        <v>6177.839</v>
      </c>
      <c r="D43" s="0" t="n">
        <f aca="false">SUM('Inputs 2026'!B43:D43)</f>
        <v>1233.7678</v>
      </c>
      <c r="E43" s="0" t="n">
        <f aca="false">AVERAGE('Inputs 2026'!B43:E43)</f>
        <v>411.255933333333</v>
      </c>
      <c r="F43" s="0" t="n">
        <f aca="false">MIN('Inputs 2026'!B43:E43)</f>
        <v>-1</v>
      </c>
      <c r="G43" s="0" t="n">
        <f aca="false">MAX('Inputs 2026'!B43:E43)</f>
        <v>1234.5678</v>
      </c>
      <c r="H43" s="0" t="n">
        <f aca="false">COUNT('Inputs 2026'!B43:E43)</f>
        <v>3</v>
      </c>
      <c r="I43" s="0" t="n">
        <f aca="false">ROUND('Inputs 2026'!B43/7,2)</f>
        <v>176.37</v>
      </c>
      <c r="J43" s="0" t="n">
        <f aca="false">ROUND('Inputs 2026'!C43*1.005,2)</f>
        <v>-1.01</v>
      </c>
      <c r="K43" s="0" t="n">
        <f aca="false">ROUND('Inputs 2026'!D43*1234.5678,-2)</f>
        <v>200</v>
      </c>
      <c r="L43" s="0" t="n">
        <f aca="false">IF('Inputs 2026'!B43&gt;'Inputs 2026'!C43,'Inputs 2026'!B43,'Inputs 2026'!C43*2)</f>
        <v>1234.5678</v>
      </c>
      <c r="M43" s="0" t="n">
        <f aca="false">IF('Inputs 2026'!B43='Inputs 2026'!C43,1,0)</f>
        <v>0</v>
      </c>
      <c r="N43" s="0" t="n">
        <f aca="false">IF('Inputs 2026'!D43&lt;&gt;0,'Inputs 2026'!B43/'Inputs 2026'!D43,0)</f>
        <v>6172.839</v>
      </c>
      <c r="O43" s="0" t="n">
        <f aca="false">-'Inputs 2026'!B43%*50%</f>
        <v>-6.172839</v>
      </c>
      <c r="P43" s="0" t="n">
        <f aca="false">C43*2+D43</f>
        <v>13589.4458</v>
      </c>
      <c r="Q43" s="0" t="e">
        <f aca="false">SUM($C$2:C43)</f>
        <v>#DIV/0!</v>
      </c>
      <c r="R43" s="0" t="n">
        <f aca="false">$D$2+P43</f>
        <v>13591.1208</v>
      </c>
      <c r="S43" s="0" t="n">
        <f aca="false">COUNT(B43:Q43)</f>
        <v>15</v>
      </c>
      <c r="T43" s="0" t="n">
        <f aca="false">IF('Inputs 2026'!E43&gt;5,1,0)</f>
        <v>0</v>
      </c>
      <c r="U43" s="0" t="n">
        <f aca="false">IF('Inputs 2026'!E43='Inputs 2026'!D43,1,0)</f>
        <v>0</v>
      </c>
      <c r="V43" s="0" t="n">
        <f aca="false">IF('Inputs 2026'!E43,1,2)</f>
        <v>2</v>
      </c>
      <c r="W43" s="0" t="n">
        <f aca="false">IF('Inputs 2026'!B43&gt;0,IF('Inputs 2026'!C43&gt;0,1,2),3)</f>
        <v>2</v>
      </c>
      <c r="X43" s="0" t="n">
        <f aca="false">SUM('Inputs 2026'!E43,'Inputs 2026'!B43,5)</f>
        <v>1239.5678</v>
      </c>
      <c r="Y43" s="0" t="n">
        <f aca="false">MAX('Inputs 2026'!B43:C43,10)-MIN('Inputs 2026'!D43,'Inputs 2026'!E43)</f>
        <v>1234.3678</v>
      </c>
    </row>
    <row r="44" customFormat="false" ht="12.8" hidden="false" customHeight="false" outlineLevel="0" collapsed="false">
      <c r="A44" s="0" t="s">
        <v>49</v>
      </c>
      <c r="B44" s="0" t="n">
        <f aca="false">'Inputs 2026'!B44+'Inputs 2026'!C44*'Inputs 2026'!D44</f>
        <v>-63.842</v>
      </c>
      <c r="C44" s="0" t="n">
        <f aca="false">('Inputs 2026'!B44-'Inputs 2026'!C44)/'Inputs 2026'!D44</f>
        <v>996.35</v>
      </c>
      <c r="D44" s="0" t="n">
        <f aca="false">SUM('Inputs 2026'!B44:D44)</f>
        <v>-239.05</v>
      </c>
      <c r="E44" s="0" t="n">
        <f aca="false">AVERAGE('Inputs 2026'!B44:E44)</f>
        <v>-79.6833333333333</v>
      </c>
      <c r="F44" s="0" t="n">
        <f aca="false">MIN('Inputs 2026'!B44:E44)</f>
        <v>-219.26</v>
      </c>
      <c r="G44" s="0" t="n">
        <f aca="false">MAX('Inputs 2026'!B44:E44)</f>
        <v>0.2</v>
      </c>
      <c r="H44" s="0" t="n">
        <f aca="false">COUNT('Inputs 2026'!B44:E44)</f>
        <v>3</v>
      </c>
      <c r="I44" s="0" t="n">
        <f aca="false">ROUND('Inputs 2026'!B44/7,2)</f>
        <v>-2.86</v>
      </c>
      <c r="J44" s="0" t="n">
        <f aca="false">ROUND('Inputs 2026'!C44*1.005,2)</f>
        <v>-220.36</v>
      </c>
      <c r="K44" s="0" t="n">
        <f aca="false">ROUND('Inputs 2026'!D44*1234.5678,-2)</f>
        <v>200</v>
      </c>
      <c r="L44" s="0" t="n">
        <f aca="false">IF('Inputs 2026'!B44&gt;'Inputs 2026'!C44,'Inputs 2026'!B44,'Inputs 2026'!C44*2)</f>
        <v>-19.99</v>
      </c>
      <c r="M44" s="0" t="n">
        <f aca="false">IF('Inputs 2026'!B44='Inputs 2026'!C44,1,0)</f>
        <v>0</v>
      </c>
      <c r="N44" s="0" t="n">
        <f aca="false">IF('Inputs 2026'!D44&lt;&gt;0,'Inputs 2026'!B44/'Inputs 2026'!D44,0)</f>
        <v>-99.95</v>
      </c>
      <c r="O44" s="0" t="n">
        <f aca="false">-'Inputs 2026'!B44%*50%</f>
        <v>0.09995</v>
      </c>
      <c r="P44" s="0" t="n">
        <f aca="false">C44*2+D44</f>
        <v>1753.65</v>
      </c>
      <c r="Q44" s="0" t="e">
        <f aca="false">SUM($C$2:C44)</f>
        <v>#DIV/0!</v>
      </c>
      <c r="R44" s="0" t="n">
        <f aca="false">$D$2+P44</f>
        <v>1755.325</v>
      </c>
      <c r="S44" s="0" t="n">
        <f aca="false">COUNT(B44:Q44)</f>
        <v>15</v>
      </c>
      <c r="T44" s="0" t="n">
        <f aca="false">IF('Inputs 2026'!E44&gt;5,1,0)</f>
        <v>0</v>
      </c>
      <c r="U44" s="0" t="n">
        <f aca="false">IF('Inputs 2026'!E44='Inputs 2026'!D44,1,0)</f>
        <v>0</v>
      </c>
      <c r="V44" s="0" t="n">
        <f aca="false">IF('Inputs 2026'!E44,1,2)</f>
        <v>2</v>
      </c>
      <c r="W44" s="0" t="n">
        <f aca="false">IF('Inputs 2026'!B44&gt;0,IF('Inputs 2026'!C44&gt;0,1,2),3)</f>
        <v>3</v>
      </c>
      <c r="X44" s="0" t="n">
        <f aca="false">SUM('Inputs 2026'!E44,'Inputs 2026'!B44,5)</f>
        <v>-14.99</v>
      </c>
      <c r="Y44" s="0" t="n">
        <f aca="false">MAX('Inputs 2026'!B44:C44,10)-MIN('Inputs 2026'!D44,'Inputs 2026'!E44)</f>
        <v>9.8</v>
      </c>
    </row>
    <row r="45" customFormat="false" ht="12.8" hidden="false" customHeight="false" outlineLevel="0" collapsed="false">
      <c r="A45" s="0" t="s">
        <v>50</v>
      </c>
      <c r="B45" s="0" t="n">
        <f aca="false">'Inputs 2026'!B45+'Inputs 2026'!C45*'Inputs 2026'!D45</f>
        <v>7</v>
      </c>
      <c r="C45" s="0" t="e">
        <f aca="false">('Inputs 2026'!B45-'Inputs 2026'!C45)/'Inputs 2026'!D45</f>
        <v>#DIV/0!</v>
      </c>
      <c r="D45" s="0" t="n">
        <f aca="false">SUM('Inputs 2026'!B45:D45)</f>
        <v>-12.99</v>
      </c>
      <c r="E45" s="0" t="n">
        <f aca="false">AVERAGE('Inputs 2026'!B45:E45)</f>
        <v>-6.495</v>
      </c>
      <c r="F45" s="0" t="n">
        <f aca="false">MIN('Inputs 2026'!B45:E45)</f>
        <v>-19.99</v>
      </c>
      <c r="G45" s="0" t="n">
        <f aca="false">MAX('Inputs 2026'!B45:E45)</f>
        <v>7</v>
      </c>
      <c r="H45" s="0" t="n">
        <f aca="false">COUNT('Inputs 2026'!B45:E45)</f>
        <v>2</v>
      </c>
      <c r="I45" s="0" t="n">
        <f aca="false">ROUND('Inputs 2026'!B45/7,2)</f>
        <v>1</v>
      </c>
      <c r="J45" s="0" t="n">
        <f aca="false">ROUND('Inputs 2026'!C45*1.005,2)</f>
        <v>-20.09</v>
      </c>
      <c r="K45" s="0" t="n">
        <f aca="false">ROUND('Inputs 2026'!D45*1234.5678,-2)</f>
        <v>0</v>
      </c>
      <c r="L45" s="0" t="n">
        <f aca="false">IF('Inputs 2026'!B45&gt;'Inputs 2026'!C45,'Inputs 2026'!B45,'Inputs 2026'!C45*2)</f>
        <v>7</v>
      </c>
      <c r="M45" s="0" t="n">
        <f aca="false">IF('Inputs 2026'!B45='Inputs 2026'!C45,1,0)</f>
        <v>0</v>
      </c>
      <c r="N45" s="0" t="n">
        <f aca="false">IF('Inputs 2026'!D45&lt;&gt;0,'Inputs 2026'!B45/'Inputs 2026'!D45,0)</f>
        <v>0</v>
      </c>
      <c r="O45" s="0" t="n">
        <f aca="false">-'Inputs 2026'!B45%*50%</f>
        <v>-0.035</v>
      </c>
      <c r="P45" s="0" t="e">
        <f aca="false">C45*2+D45</f>
        <v>#DIV/0!</v>
      </c>
      <c r="Q45" s="0" t="e">
        <f aca="false">SUM($C$2:C45)</f>
        <v>#DIV/0!</v>
      </c>
      <c r="R45" s="0" t="e">
        <f aca="false">$D$2+P45</f>
        <v>#DIV/0!</v>
      </c>
      <c r="S45" s="0" t="n">
        <f aca="false">COUNT(B45:Q45)</f>
        <v>13</v>
      </c>
      <c r="T45" s="0" t="n">
        <f aca="false">IF('Inputs 2026'!E45&gt;5,1,0)</f>
        <v>0</v>
      </c>
      <c r="U45" s="0" t="n">
        <f aca="false">IF('Inputs 2026'!E45='Inputs 2026'!D45,1,0)</f>
        <v>1</v>
      </c>
      <c r="V45" s="0" t="n">
        <f aca="false">IF('Inputs 2026'!E45,1,2)</f>
        <v>2</v>
      </c>
      <c r="W45" s="0" t="n">
        <f aca="false">IF('Inputs 2026'!B45&gt;0,IF('Inputs 2026'!C45&gt;0,1,2),3)</f>
        <v>2</v>
      </c>
      <c r="X45" s="0" t="n">
        <f aca="false">SUM('Inputs 2026'!E45,'Inputs 2026'!B45,5)</f>
        <v>12</v>
      </c>
      <c r="Y45" s="0" t="n">
        <f aca="false">MAX('Inputs 2026'!B45:C45,10)-MIN('Inputs 2026'!D45,'Inputs 2026'!E45)</f>
        <v>10</v>
      </c>
    </row>
    <row r="46" customFormat="false" ht="12.8" hidden="false" customHeight="false" outlineLevel="0" collapsed="false">
      <c r="A46" s="0" t="s">
        <v>51</v>
      </c>
      <c r="B46" s="0" t="n">
        <f aca="false">'Inputs 2026'!B46+'Inputs 2026'!C46*'Inputs 2026'!D46</f>
        <v>27</v>
      </c>
      <c r="C46" s="0" t="n">
        <f aca="false">('Inputs 2026'!B46-'Inputs 2026'!C46)/'Inputs 2026'!D46</f>
        <v>-1.5</v>
      </c>
      <c r="D46" s="0" t="n">
        <f aca="false">SUM('Inputs 2026'!B46:D46)</f>
        <v>19</v>
      </c>
      <c r="E46" s="0" t="n">
        <f aca="false">AVERAGE('Inputs 2026'!B46:E46)</f>
        <v>6.33333333333333</v>
      </c>
      <c r="F46" s="0" t="n">
        <f aca="false">MIN('Inputs 2026'!B46:E46)</f>
        <v>2</v>
      </c>
      <c r="G46" s="0" t="n">
        <f aca="false">MAX('Inputs 2026'!B46:E46)</f>
        <v>10</v>
      </c>
      <c r="H46" s="0" t="n">
        <f aca="false">COUNT('Inputs 2026'!B46:E46)</f>
        <v>3</v>
      </c>
      <c r="I46" s="0" t="n">
        <f aca="false">ROUND('Inputs 2026'!B46/7,2)</f>
        <v>1</v>
      </c>
      <c r="J46" s="0" t="n">
        <f aca="false">ROUND('Inputs 2026'!C46*1.005,2)</f>
        <v>10.05</v>
      </c>
      <c r="K46" s="0" t="n">
        <f aca="false">ROUND('Inputs 2026'!D46*1234.5678,-2)</f>
        <v>2500</v>
      </c>
      <c r="L46" s="0" t="n">
        <f aca="false">IF('Inputs 2026'!B46&gt;'Inputs 2026'!C46,'Inputs 2026'!B46,'Inputs 2026'!C46*2)</f>
        <v>20</v>
      </c>
      <c r="M46" s="0" t="n">
        <f aca="false">IF('Inputs 2026'!B46='Inputs 2026'!C46,1,0)</f>
        <v>0</v>
      </c>
      <c r="N46" s="0" t="n">
        <f aca="false">IF('Inputs 2026'!D46&lt;&gt;0,'Inputs 2026'!B46/'Inputs 2026'!D46,0)</f>
        <v>3.5</v>
      </c>
      <c r="O46" s="0" t="n">
        <f aca="false">-'Inputs 2026'!B46%*50%</f>
        <v>-0.035</v>
      </c>
      <c r="P46" s="0" t="n">
        <f aca="false">C46*2+D46</f>
        <v>16</v>
      </c>
      <c r="Q46" s="0" t="e">
        <f aca="false">SUM($C$2:C46)</f>
        <v>#DIV/0!</v>
      </c>
      <c r="R46" s="0" t="n">
        <f aca="false">$D$2+P46</f>
        <v>17.675</v>
      </c>
      <c r="S46" s="0" t="n">
        <f aca="false">COUNT(B46:Q46)</f>
        <v>15</v>
      </c>
      <c r="T46" s="0" t="n">
        <f aca="false">IF('Inputs 2026'!E46&gt;5,1,0)</f>
        <v>1</v>
      </c>
      <c r="U46" s="0" t="n">
        <f aca="false">IF('Inputs 2026'!E46='Inputs 2026'!D46,1,0)</f>
        <v>0</v>
      </c>
      <c r="V46" s="0" t="e">
        <f aca="false">IF('Inputs 2026'!E46,1,2)</f>
        <v>#VALUE!</v>
      </c>
      <c r="W46" s="0" t="n">
        <f aca="false">IF('Inputs 2026'!B46&gt;0,IF('Inputs 2026'!C46&gt;0,1,2),3)</f>
        <v>1</v>
      </c>
      <c r="X46" s="0" t="n">
        <f aca="false">SUM('Inputs 2026'!E46,'Inputs 2026'!B46,5)</f>
        <v>12</v>
      </c>
      <c r="Y46" s="0" t="n">
        <f aca="false">MAX('Inputs 2026'!B46:C46,10)-MIN('Inputs 2026'!D46,'Inputs 2026'!E46)</f>
        <v>8</v>
      </c>
    </row>
    <row r="47" customFormat="false" ht="12.8" hidden="false" customHeight="false" outlineLevel="0" collapsed="false">
      <c r="A47" s="0" t="s">
        <v>52</v>
      </c>
      <c r="B47" s="0" t="n">
        <f aca="false">'Inputs 2026'!B47+'Inputs 2026'!C47*'Inputs 2026'!D47</f>
        <v>133.45678</v>
      </c>
      <c r="C47" s="0" t="n">
        <f aca="false">('Inputs 2026'!B47-'Inputs 2026'!C47)/'Inputs 2026'!D47</f>
        <v>-12245.678</v>
      </c>
      <c r="D47" s="0" t="n">
        <f aca="false">SUM('Inputs 2026'!B47:D47)</f>
        <v>1244.6678</v>
      </c>
      <c r="E47" s="0" t="n">
        <f aca="false">AVERAGE('Inputs 2026'!B47:E47)</f>
        <v>414.889266666667</v>
      </c>
      <c r="F47" s="0" t="n">
        <f aca="false">MIN('Inputs 2026'!B47:E47)</f>
        <v>0.1</v>
      </c>
      <c r="G47" s="0" t="n">
        <f aca="false">MAX('Inputs 2026'!B47:E47)</f>
        <v>1234.5678</v>
      </c>
      <c r="H47" s="0" t="n">
        <f aca="false">COUNT('Inputs 2026'!B47:E47)</f>
        <v>3</v>
      </c>
      <c r="I47" s="0" t="n">
        <f aca="false">ROUND('Inputs 2026'!B47/7,2)</f>
        <v>1.43</v>
      </c>
      <c r="J47" s="0" t="n">
        <f aca="false">ROUND('Inputs 2026'!C47*1.005,2)</f>
        <v>1240.74</v>
      </c>
      <c r="K47" s="0" t="n">
        <f aca="false">ROUND('Inputs 2026'!D47*1234.5678,-2)</f>
        <v>100</v>
      </c>
      <c r="L47" s="0" t="n">
        <f aca="false">IF('Inputs 2026'!B47&gt;'Inputs 2026'!C47,'Inputs 2026'!B47,'Inputs 2026'!C47*2)</f>
        <v>2469.1356</v>
      </c>
      <c r="M47" s="0" t="n">
        <f aca="false">IF('Inputs 2026'!B47='Inputs 2026'!C47,1,0)</f>
        <v>0</v>
      </c>
      <c r="N47" s="0" t="n">
        <f aca="false">IF('Inputs 2026'!D47&lt;&gt;0,'Inputs 2026'!B47/'Inputs 2026'!D47,0)</f>
        <v>100</v>
      </c>
      <c r="O47" s="0" t="n">
        <f aca="false">-'Inputs 2026'!B47%*50%</f>
        <v>-0.05</v>
      </c>
      <c r="P47" s="0" t="n">
        <f aca="false">C47*2+D47</f>
        <v>-23246.6882</v>
      </c>
      <c r="Q47" s="0" t="e">
        <f aca="false">SUM($C$2:C47)</f>
        <v>#DIV/0!</v>
      </c>
      <c r="R47" s="0" t="n">
        <f aca="false">$D$2+P47</f>
        <v>-23245.0132</v>
      </c>
      <c r="S47" s="0" t="n">
        <f aca="false">COUNT(B47:Q47)</f>
        <v>15</v>
      </c>
      <c r="T47" s="0" t="n">
        <f aca="false">IF('Inputs 2026'!E47&gt;5,1,0)</f>
        <v>1</v>
      </c>
      <c r="U47" s="0" t="n">
        <f aca="false">IF('Inputs 2026'!E47='Inputs 2026'!D47,1,0)</f>
        <v>0</v>
      </c>
      <c r="V47" s="0" t="e">
        <f aca="false">IF('Inputs 2026'!E47,1,2)</f>
        <v>#VALUE!</v>
      </c>
      <c r="W47" s="0" t="n">
        <f aca="false">IF('Inputs 2026'!B47&gt;0,IF('Inputs 2026'!C47&gt;0,1,2),3)</f>
        <v>1</v>
      </c>
      <c r="X47" s="0" t="n">
        <f aca="false">SUM('Inputs 2026'!E47,'Inputs 2026'!B47,5)</f>
        <v>15</v>
      </c>
      <c r="Y47" s="0" t="n">
        <f aca="false">MAX('Inputs 2026'!B47:C47,10)-MIN('Inputs 2026'!D47,'Inputs 2026'!E47)</f>
        <v>1234.4678</v>
      </c>
    </row>
    <row r="48" customFormat="false" ht="12.8" hidden="false" customHeight="false" outlineLevel="0" collapsed="false">
      <c r="A48" s="0" t="s">
        <v>53</v>
      </c>
      <c r="B48" s="0" t="n">
        <f aca="false">'Inputs 2026'!B48+'Inputs 2026'!C48*'Inputs 2026'!D48</f>
        <v>10000.1</v>
      </c>
      <c r="C48" s="0" t="n">
        <f aca="false">('Inputs 2026'!B48-'Inputs 2026'!C48)/'Inputs 2026'!D48</f>
        <v>-0.999</v>
      </c>
      <c r="D48" s="0" t="n">
        <f aca="false">SUM('Inputs 2026'!B48:D48)</f>
        <v>200.1</v>
      </c>
      <c r="E48" s="0" t="n">
        <f aca="false">AVERAGE('Inputs 2026'!B48:E48)</f>
        <v>66.7</v>
      </c>
      <c r="F48" s="0" t="n">
        <f aca="false">MIN('Inputs 2026'!B48:E48)</f>
        <v>0.1</v>
      </c>
      <c r="G48" s="0" t="n">
        <f aca="false">MAX('Inputs 2026'!B48:E48)</f>
        <v>100</v>
      </c>
      <c r="H48" s="0" t="n">
        <f aca="false">COUNT('Inputs 2026'!B48:E48)</f>
        <v>3</v>
      </c>
      <c r="I48" s="0" t="n">
        <f aca="false">ROUND('Inputs 2026'!B48/7,2)</f>
        <v>0.01</v>
      </c>
      <c r="J48" s="0" t="n">
        <f aca="false">ROUND('Inputs 2026'!C48*1.005,2)</f>
        <v>100.5</v>
      </c>
      <c r="K48" s="0" t="n">
        <f aca="false">ROUND('Inputs 2026'!D48*1234.5678,-2)</f>
        <v>123500</v>
      </c>
      <c r="L48" s="0" t="n">
        <f aca="false">IF('Inputs 2026'!B48&gt;'Inputs 2026'!C48,'Inputs 2026'!B48,'Inputs 2026'!C48*2)</f>
        <v>200</v>
      </c>
      <c r="M48" s="0" t="n">
        <f aca="false">IF('Inputs 2026'!B48='Inputs 2026'!C48,1,0)</f>
        <v>0</v>
      </c>
      <c r="N48" s="0" t="n">
        <f aca="false">IF('Inputs 2026'!D48&lt;&gt;0,'Inputs 2026'!B48/'Inputs 2026'!D48,0)</f>
        <v>0.001</v>
      </c>
      <c r="O48" s="0" t="n">
        <f aca="false">-'Inputs 2026'!B48%*50%</f>
        <v>-0.0005</v>
      </c>
      <c r="P48" s="0" t="n">
        <f aca="false">C48*2+D48</f>
        <v>198.102</v>
      </c>
      <c r="Q48" s="0" t="e">
        <f aca="false">SUM($C$2:C48)</f>
        <v>#DIV/0!</v>
      </c>
      <c r="R48" s="0" t="n">
        <f aca="false">$D$2+P48</f>
        <v>199.777</v>
      </c>
      <c r="S48" s="0" t="n">
        <f aca="false">COUNT(B48:Q48)</f>
        <v>15</v>
      </c>
      <c r="T48" s="0" t="n">
        <f aca="false">IF('Inputs 2026'!E48&gt;5,1,0)</f>
        <v>1</v>
      </c>
      <c r="U48" s="0" t="n">
        <f aca="false">IF('Inputs 2026'!E48='Inputs 2026'!D48,1,0)</f>
        <v>0</v>
      </c>
      <c r="V48" s="0" t="e">
        <f aca="false">IF('Inputs 2026'!E48,1,2)</f>
        <v>#VALUE!</v>
      </c>
      <c r="W48" s="0" t="n">
        <f aca="false">IF('Inputs 2026'!B48&gt;0,IF('Inputs 2026'!C48&gt;0,1,2),3)</f>
        <v>1</v>
      </c>
      <c r="X48" s="0" t="n">
        <f aca="false">SUM('Inputs 2026'!E48,'Inputs 2026'!B48,5)</f>
        <v>5.1</v>
      </c>
      <c r="Y48" s="0" t="n">
        <f aca="false">MAX('Inputs 2026'!B48:C48,10)-MIN('Inputs 2026'!D48,'Inputs 2026'!E48)</f>
        <v>0</v>
      </c>
    </row>
    <row r="49" customFormat="false" ht="12.8" hidden="false" customHeight="false" outlineLevel="0" collapsed="false">
      <c r="A49" s="0" t="s">
        <v>54</v>
      </c>
      <c r="B49" s="0" t="n">
        <f aca="false">'Inputs 2026'!B49+'Inputs 2026'!C49*'Inputs 2026'!D49</f>
        <v>-10</v>
      </c>
      <c r="C49" s="0" t="n">
        <f aca="false">('Inputs 2026'!B49-'Inputs 2026'!C49)/'Inputs 2026'!D49</f>
        <v>10</v>
      </c>
      <c r="D49" s="0" t="n">
        <f aca="false">SUM('Inputs 2026'!B49:D49)</f>
        <v>9</v>
      </c>
      <c r="E49" s="0" t="n">
        <f aca="false">AVERAGE('Inputs 2026'!B49:E49)</f>
        <v>4.5</v>
      </c>
      <c r="F49" s="0" t="n">
        <f aca="false">MIN('Inputs 2026'!B49:E49)</f>
        <v>-1</v>
      </c>
      <c r="G49" s="0" t="n">
        <f aca="false">MAX('Inputs 2026'!B49:E49)</f>
        <v>10</v>
      </c>
      <c r="H49" s="0" t="n">
        <f aca="false">COUNT('Inputs 2026'!B49:E49)</f>
        <v>2</v>
      </c>
      <c r="I49" s="0" t="n">
        <f aca="false">ROUND('Inputs 2026'!B49/7,2)</f>
        <v>0</v>
      </c>
      <c r="J49" s="0" t="n">
        <f aca="false">ROUND('Inputs 2026'!C49*1.005,2)</f>
        <v>10.05</v>
      </c>
      <c r="K49" s="0" t="n">
        <f aca="false">ROUND('Inputs 2026'!D49*1234.5678,-2)</f>
        <v>-1200</v>
      </c>
      <c r="L49" s="0" t="n">
        <f aca="false">IF('Inputs 2026'!B49&gt;'Inputs 2026'!C49,'Inputs 2026'!B49,'Inputs 2026'!C49*2)</f>
        <v>20</v>
      </c>
      <c r="M49" s="0" t="n">
        <f aca="false">IF('Inputs 2026'!B49='Inputs 2026'!C49,1,0)</f>
        <v>0</v>
      </c>
      <c r="N49" s="0" t="n">
        <f aca="false">IF('Inputs 2026'!D49&lt;&gt;0,'Inputs 2026'!B49/'Inputs 2026'!D49,0)</f>
        <v>-0</v>
      </c>
      <c r="O49" s="0" t="n">
        <f aca="false">-'Inputs 2026'!B49%*50%</f>
        <v>-0</v>
      </c>
      <c r="P49" s="0" t="n">
        <f aca="false">C49*2+D49</f>
        <v>29</v>
      </c>
      <c r="Q49" s="0" t="e">
        <f aca="false">SUM($C$2:C49)</f>
        <v>#DIV/0!</v>
      </c>
      <c r="R49" s="0" t="n">
        <f aca="false">$D$2+P49</f>
        <v>30.675</v>
      </c>
      <c r="S49" s="0" t="n">
        <f aca="false">COUNT(B49:Q49)</f>
        <v>15</v>
      </c>
      <c r="T49" s="0" t="n">
        <f aca="false">IF('Inputs 2026'!E49&gt;5,1,0)</f>
        <v>1</v>
      </c>
      <c r="U49" s="0" t="n">
        <f aca="false">IF('Inputs 2026'!E49='Inputs 2026'!D49,1,0)</f>
        <v>0</v>
      </c>
      <c r="V49" s="0" t="e">
        <f aca="false">IF('Inputs 2026'!E49,1,2)</f>
        <v>#VALUE!</v>
      </c>
      <c r="W49" s="0" t="n">
        <f aca="false">IF('Inputs 2026'!B49&gt;0,IF('Inputs 2026'!C49&gt;0,1,2),3)</f>
        <v>3</v>
      </c>
      <c r="X49" s="0" t="n">
        <f aca="false">SUM('Inputs 2026'!E49,'Inputs 2026'!B49,5)</f>
        <v>5</v>
      </c>
      <c r="Y49" s="0" t="n">
        <f aca="false">MAX('Inputs 2026'!B49:C49,10)-MIN('Inputs 2026'!D49,'Inputs 2026'!E49)</f>
        <v>11</v>
      </c>
    </row>
    <row r="50" customFormat="false" ht="12.8" hidden="false" customHeight="false" outlineLevel="0" collapsed="false">
      <c r="A50" s="0" t="s">
        <v>55</v>
      </c>
      <c r="B50" s="0" t="n">
        <f aca="false">'Inputs 2026'!B50+'Inputs 2026'!C50*'Inputs 2026'!D50</f>
        <v>3.1</v>
      </c>
      <c r="C50" s="0" t="n">
        <f aca="false">('Inputs 2026'!B50-'Inputs 2026'!C50)/'Inputs 2026'!D50</f>
        <v>12.5</v>
      </c>
      <c r="D50" s="0" t="n">
        <f aca="false">SUM('Inputs 2026'!B50:D50)</f>
        <v>3.7</v>
      </c>
      <c r="E50" s="0" t="n">
        <f aca="false">AVERAGE('Inputs 2026'!B50:E50)</f>
        <v>1.23333333333333</v>
      </c>
      <c r="F50" s="0" t="n">
        <f aca="false">MIN('Inputs 2026'!B50:E50)</f>
        <v>0.2</v>
      </c>
      <c r="G50" s="0" t="n">
        <f aca="false">MAX('Inputs 2026'!B50:E50)</f>
        <v>3</v>
      </c>
      <c r="H50" s="0" t="n">
        <f aca="false">COUNT('Inputs 2026'!B50:E50)</f>
        <v>3</v>
      </c>
      <c r="I50" s="0" t="n">
        <f aca="false">ROUND('Inputs 2026'!B50/7,2)</f>
        <v>0.43</v>
      </c>
      <c r="J50" s="0" t="n">
        <f aca="false">ROUND('Inputs 2026'!C50*1.005,2)</f>
        <v>0.5</v>
      </c>
      <c r="K50" s="0" t="n">
        <f aca="false">ROUND('Inputs 2026'!D50*1234.5678,-2)</f>
        <v>200</v>
      </c>
      <c r="L50" s="0" t="n">
        <f aca="false">IF('Inputs 2026'!B50&gt;'Inputs 2026'!C50,'Inputs 2026'!B50,'Inputs 2026'!C50*2)</f>
        <v>3</v>
      </c>
      <c r="M50" s="0" t="n">
        <f aca="false">IF('Inputs 2026'!B50='Inputs 2026'!C50,1,0)</f>
        <v>0</v>
      </c>
      <c r="N50" s="0" t="n">
        <f aca="false">IF('Inputs 2026'!D50&lt;&gt;0,'Inputs 2026'!B50/'Inputs 2026'!D50,0)</f>
        <v>15</v>
      </c>
      <c r="O50" s="0" t="n">
        <f aca="false">-'Inputs 2026'!B50%*50%</f>
        <v>-0.015</v>
      </c>
      <c r="P50" s="0" t="n">
        <f aca="false">C50*2+D50</f>
        <v>28.7</v>
      </c>
      <c r="Q50" s="0" t="e">
        <f aca="false">SUM($C$2:C50)</f>
        <v>#DIV/0!</v>
      </c>
      <c r="R50" s="0" t="n">
        <f aca="false">$D$2+P50</f>
        <v>30.375</v>
      </c>
      <c r="S50" s="0" t="n">
        <f aca="false">COUNT(B50:Q50)</f>
        <v>15</v>
      </c>
      <c r="T50" s="0" t="n">
        <f aca="false">IF('Inputs 2026'!E50&gt;5,1,0)</f>
        <v>0</v>
      </c>
      <c r="U50" s="0" t="n">
        <f aca="false">IF('Inputs 2026'!E50='Inputs 2026'!D50,1,0)</f>
        <v>0</v>
      </c>
      <c r="V50" s="0" t="n">
        <f aca="false">IF('Inputs 2026'!E50,1,2)</f>
        <v>2</v>
      </c>
      <c r="W50" s="0" t="n">
        <f aca="false">IF('Inputs 2026'!B50&gt;0,IF('Inputs 2026'!C50&gt;0,1,2),3)</f>
        <v>1</v>
      </c>
      <c r="X50" s="0" t="n">
        <f aca="false">SUM('Inputs 2026'!E50,'Inputs 2026'!B50,5)</f>
        <v>8</v>
      </c>
      <c r="Y50" s="0" t="n">
        <f aca="false">MAX('Inputs 2026'!B50:C50,10)-MIN('Inputs 2026'!D50,'Inputs 2026'!E50)</f>
        <v>9.8</v>
      </c>
    </row>
    <row r="51" customFormat="false" ht="12.8" hidden="false" customHeight="false" outlineLevel="0" collapsed="false">
      <c r="A51" s="0" t="s">
        <v>56</v>
      </c>
      <c r="B51" s="0" t="n">
        <f aca="false">'Inputs 2026'!B51+'Inputs 2026'!C51*'Inputs 2026'!D51</f>
        <v>25.0625</v>
      </c>
      <c r="C51" s="0" t="n">
        <f aca="false">('Inputs 2026'!B51-'Inputs 2026'!C51)/'Inputs 2026'!D51</f>
        <v>99</v>
      </c>
      <c r="D51" s="0" t="n">
        <f aca="false">SUM('Inputs 2026'!B51:D51)</f>
        <v>25.5</v>
      </c>
      <c r="E51" s="0" t="n">
        <f aca="false">AVERAGE('Inputs 2026'!B51:E51)</f>
        <v>8.5</v>
      </c>
      <c r="F51" s="0" t="n">
        <f aca="false">MIN('Inputs 2026'!B51:E51)</f>
        <v>0.25</v>
      </c>
      <c r="G51" s="0" t="n">
        <f aca="false">MAX('Inputs 2026'!B51:E51)</f>
        <v>25</v>
      </c>
      <c r="H51" s="0" t="n">
        <f aca="false">COUNT('Inputs 2026'!B51:E51)</f>
        <v>3</v>
      </c>
      <c r="I51" s="0" t="n">
        <f aca="false">ROUND('Inputs 2026'!B51/7,2)</f>
        <v>3.57</v>
      </c>
      <c r="J51" s="0" t="n">
        <f aca="false">ROUND('Inputs 2026'!C51*1.005,2)</f>
        <v>0.25</v>
      </c>
      <c r="K51" s="0" t="n">
        <f aca="false">ROUND('Inputs 2026'!D51*1234.5678,-2)</f>
        <v>300</v>
      </c>
      <c r="L51" s="0" t="n">
        <f aca="false">IF('Inputs 2026'!B51&gt;'Inputs 2026'!C51,'Inputs 2026'!B51,'Inputs 2026'!C51*2)</f>
        <v>25</v>
      </c>
      <c r="M51" s="0" t="n">
        <f aca="false">IF('Inputs 2026'!B51='Inputs 2026'!C51,1,0)</f>
        <v>0</v>
      </c>
      <c r="N51" s="0" t="n">
        <f aca="false">IF('Inputs 2026'!D51&lt;&gt;0,'Inputs 2026'!B51/'Inputs 2026'!D51,0)</f>
        <v>100</v>
      </c>
      <c r="O51" s="0" t="n">
        <f aca="false">-'Inputs 2026'!B51%*50%</f>
        <v>-0.125</v>
      </c>
      <c r="P51" s="0" t="n">
        <f aca="false">C51*2+D51</f>
        <v>223.5</v>
      </c>
      <c r="Q51" s="0" t="e">
        <f aca="false">SUM($C$2:C51)</f>
        <v>#DIV/0!</v>
      </c>
      <c r="R51" s="0" t="n">
        <f aca="false">$D$2+P51</f>
        <v>225.175</v>
      </c>
      <c r="S51" s="0" t="n">
        <f aca="false">COUNT(B51:Q51)</f>
        <v>15</v>
      </c>
      <c r="T51" s="0" t="n">
        <f aca="false">IF('Inputs 2026'!E51&gt;5,1,0)</f>
        <v>0</v>
      </c>
      <c r="U51" s="0" t="n">
        <f aca="false">IF('Inputs 2026'!E51='Inputs 2026'!D51,1,0)</f>
        <v>0</v>
      </c>
      <c r="V51" s="0" t="n">
        <f aca="false">IF('Inputs 2026'!E51,1,2)</f>
        <v>2</v>
      </c>
      <c r="W51" s="0" t="n">
        <f aca="false">IF('Inputs 2026'!B51&gt;0,IF('Inputs 2026'!C51&gt;0,1,2),3)</f>
        <v>1</v>
      </c>
      <c r="X51" s="0" t="n">
        <f aca="false">SUM('Inputs 2026'!E51,'Inputs 2026'!B51,5)</f>
        <v>30</v>
      </c>
      <c r="Y51" s="0" t="n">
        <f aca="false">MAX('Inputs 2026'!B51:C51,10)-MIN('Inputs 2026'!D51,'Inputs 2026'!E51)</f>
        <v>24.75</v>
      </c>
    </row>
    <row r="52" customFormat="false" ht="12.8" hidden="false" customHeight="false" outlineLevel="0" collapsed="false">
      <c r="A52" s="0" t="s">
        <v>57</v>
      </c>
      <c r="B52" s="0" t="n">
        <f aca="false">'Inputs 2026'!B52+'Inputs 2026'!C52*'Inputs 2026'!D52</f>
        <v>75.2</v>
      </c>
      <c r="C52" s="0" t="n">
        <f aca="false">('Inputs 2026'!B52-'Inputs 2026'!C52)/'Inputs 2026'!D52</f>
        <v>-0.112</v>
      </c>
      <c r="D52" s="0" t="n">
        <f aca="false">SUM('Inputs 2026'!B52:D52)</f>
        <v>28.2</v>
      </c>
      <c r="E52" s="0" t="n">
        <f aca="false">AVERAGE('Inputs 2026'!B52:E52)</f>
        <v>9.4</v>
      </c>
      <c r="F52" s="0" t="n">
        <f aca="false">MIN('Inputs 2026'!B52:E52)</f>
        <v>0.2</v>
      </c>
      <c r="G52" s="0" t="n">
        <f aca="false">MAX('Inputs 2026'!B52:E52)</f>
        <v>25</v>
      </c>
      <c r="H52" s="0" t="n">
        <f aca="false">COUNT('Inputs 2026'!B52:E52)</f>
        <v>3</v>
      </c>
      <c r="I52" s="0" t="n">
        <f aca="false">ROUND('Inputs 2026'!B52/7,2)</f>
        <v>0.03</v>
      </c>
      <c r="J52" s="0" t="n">
        <f aca="false">ROUND('Inputs 2026'!C52*1.005,2)</f>
        <v>3.02</v>
      </c>
      <c r="K52" s="0" t="n">
        <f aca="false">ROUND('Inputs 2026'!D52*1234.5678,-2)</f>
        <v>30900</v>
      </c>
      <c r="L52" s="0" t="n">
        <f aca="false">IF('Inputs 2026'!B52&gt;'Inputs 2026'!C52,'Inputs 2026'!B52,'Inputs 2026'!C52*2)</f>
        <v>6</v>
      </c>
      <c r="M52" s="0" t="n">
        <f aca="false">IF('Inputs 2026'!B52='Inputs 2026'!C52,1,0)</f>
        <v>0</v>
      </c>
      <c r="N52" s="0" t="n">
        <f aca="false">IF('Inputs 2026'!D52&lt;&gt;0,'Inputs 2026'!B52/'Inputs 2026'!D52,0)</f>
        <v>0.008</v>
      </c>
      <c r="O52" s="0" t="n">
        <f aca="false">-'Inputs 2026'!B52%*50%</f>
        <v>-0.001</v>
      </c>
      <c r="P52" s="0" t="n">
        <f aca="false">C52*2+D52</f>
        <v>27.976</v>
      </c>
      <c r="Q52" s="0" t="e">
        <f aca="false">SUM($C$2:C52)</f>
        <v>#DIV/0!</v>
      </c>
      <c r="R52" s="0" t="n">
        <f aca="false">$D$2+P52</f>
        <v>29.651</v>
      </c>
      <c r="S52" s="0" t="n">
        <f aca="false">COUNT(B52:Q52)</f>
        <v>15</v>
      </c>
      <c r="T52" s="0" t="n">
        <f aca="false">IF('Inputs 2026'!E52&gt;5,1,0)</f>
        <v>1</v>
      </c>
      <c r="U52" s="0" t="n">
        <f aca="false">IF('Inputs 2026'!E52='Inputs 2026'!D52,1,0)</f>
        <v>0</v>
      </c>
      <c r="V52" s="0" t="e">
        <f aca="false">IF('Inputs 2026'!E52,1,2)</f>
        <v>#VALUE!</v>
      </c>
      <c r="W52" s="0" t="n">
        <f aca="false">IF('Inputs 2026'!B52&gt;0,IF('Inputs 2026'!C52&gt;0,1,2),3)</f>
        <v>1</v>
      </c>
      <c r="X52" s="0" t="n">
        <f aca="false">SUM('Inputs 2026'!E52,'Inputs 2026'!B52,5)</f>
        <v>5.2</v>
      </c>
      <c r="Y52" s="0" t="n">
        <f aca="false">MAX('Inputs 2026'!B52:C52,10)-MIN('Inputs 2026'!D52,'Inputs 2026'!E52)</f>
        <v>-15</v>
      </c>
    </row>
    <row r="53" customFormat="false" ht="12.8" hidden="false" customHeight="false" outlineLevel="0" collapsed="false">
      <c r="A53" s="0" t="s">
        <v>58</v>
      </c>
      <c r="B53" s="0" t="n">
        <f aca="false">'Inputs 2026'!B53+'Inputs 2026'!C53*'Inputs 2026'!D53</f>
        <v>1864.26</v>
      </c>
      <c r="C53" s="0" t="n">
        <f aca="false">('Inputs 2026'!B53-'Inputs 2026'!C53)/'Inputs 2026'!D53</f>
        <v>-0.0016096493110701</v>
      </c>
      <c r="D53" s="0" t="n">
        <f aca="false">SUM('Inputs 2026'!B53:D53)</f>
        <v>934.38</v>
      </c>
      <c r="E53" s="0" t="n">
        <f aca="false">AVERAGE('Inputs 2026'!B53:E53)</f>
        <v>311.46</v>
      </c>
      <c r="F53" s="0" t="n">
        <f aca="false">MIN('Inputs 2026'!B53:E53)</f>
        <v>0.5</v>
      </c>
      <c r="G53" s="0" t="n">
        <f aca="false">MAX('Inputs 2026'!B53:E53)</f>
        <v>931.88</v>
      </c>
      <c r="H53" s="0" t="n">
        <f aca="false">COUNT('Inputs 2026'!B53:E53)</f>
        <v>3</v>
      </c>
      <c r="I53" s="0" t="n">
        <f aca="false">ROUND('Inputs 2026'!B53/7,2)</f>
        <v>0.07</v>
      </c>
      <c r="J53" s="0" t="n">
        <f aca="false">ROUND('Inputs 2026'!C53*1.005,2)</f>
        <v>2.01</v>
      </c>
      <c r="K53" s="0" t="n">
        <f aca="false">ROUND('Inputs 2026'!D53*1234.5678,-2)</f>
        <v>1150500</v>
      </c>
      <c r="L53" s="0" t="n">
        <f aca="false">IF('Inputs 2026'!B53&gt;'Inputs 2026'!C53,'Inputs 2026'!B53,'Inputs 2026'!C53*2)</f>
        <v>4</v>
      </c>
      <c r="M53" s="0" t="n">
        <f aca="false">IF('Inputs 2026'!B53='Inputs 2026'!C53,1,0)</f>
        <v>0</v>
      </c>
      <c r="N53" s="0" t="n">
        <f aca="false">IF('Inputs 2026'!D53&lt;&gt;0,'Inputs 2026'!B53/'Inputs 2026'!D53,0)</f>
        <v>0.000536549770356698</v>
      </c>
      <c r="O53" s="0" t="n">
        <f aca="false">-'Inputs 2026'!B53%*50%</f>
        <v>-0.0025</v>
      </c>
      <c r="P53" s="0" t="n">
        <f aca="false">C53*2+D53</f>
        <v>934.376780701378</v>
      </c>
      <c r="Q53" s="0" t="e">
        <f aca="false">SUM($C$2:C53)</f>
        <v>#DIV/0!</v>
      </c>
      <c r="R53" s="0" t="n">
        <f aca="false">$D$2+P53</f>
        <v>936.051780701378</v>
      </c>
      <c r="S53" s="0" t="n">
        <f aca="false">COUNT(B53:Q53)</f>
        <v>15</v>
      </c>
      <c r="T53" s="0" t="n">
        <f aca="false">IF('Inputs 2026'!E53&gt;5,1,0)</f>
        <v>0</v>
      </c>
      <c r="U53" s="0" t="n">
        <f aca="false">IF('Inputs 2026'!E53='Inputs 2026'!D53,1,0)</f>
        <v>0</v>
      </c>
      <c r="V53" s="0" t="n">
        <f aca="false">IF('Inputs 2026'!E53,1,2)</f>
        <v>2</v>
      </c>
      <c r="W53" s="0" t="n">
        <f aca="false">IF('Inputs 2026'!B53&gt;0,IF('Inputs 2026'!C53&gt;0,1,2),3)</f>
        <v>1</v>
      </c>
      <c r="X53" s="0" t="n">
        <f aca="false">SUM('Inputs 2026'!E53,'Inputs 2026'!B53,5)</f>
        <v>5.5</v>
      </c>
      <c r="Y53" s="0" t="n">
        <f aca="false">MAX('Inputs 2026'!B53:C53,10)-MIN('Inputs 2026'!D53,'Inputs 2026'!E53)</f>
        <v>-921.88</v>
      </c>
    </row>
    <row r="54" customFormat="false" ht="12.8" hidden="false" customHeight="false" outlineLevel="0" collapsed="false">
      <c r="A54" s="0" t="s">
        <v>59</v>
      </c>
      <c r="B54" s="0" t="n">
        <f aca="false">'Inputs 2026'!B54+'Inputs 2026'!C54*'Inputs 2026'!D54</f>
        <v>1</v>
      </c>
      <c r="C54" s="0" t="n">
        <f aca="false">('Inputs 2026'!B54-'Inputs 2026'!C54)/'Inputs 2026'!D54</f>
        <v>0.1</v>
      </c>
      <c r="D54" s="0" t="n">
        <f aca="false">SUM('Inputs 2026'!B54:D54)</f>
        <v>11</v>
      </c>
      <c r="E54" s="0" t="n">
        <f aca="false">AVERAGE('Inputs 2026'!B54:E54)</f>
        <v>3.66666666666667</v>
      </c>
      <c r="F54" s="0" t="n">
        <f aca="false">MIN('Inputs 2026'!B54:E54)</f>
        <v>0</v>
      </c>
      <c r="G54" s="0" t="n">
        <f aca="false">MAX('Inputs 2026'!B54:E54)</f>
        <v>10</v>
      </c>
      <c r="H54" s="0" t="n">
        <f aca="false">COUNT('Inputs 2026'!B54:E54)</f>
        <v>3</v>
      </c>
      <c r="I54" s="0" t="n">
        <f aca="false">ROUND('Inputs 2026'!B54/7,2)</f>
        <v>0.14</v>
      </c>
      <c r="J54" s="0" t="n">
        <f aca="false">ROUND('Inputs 2026'!C54*1.005,2)</f>
        <v>0</v>
      </c>
      <c r="K54" s="0" t="n">
        <f aca="false">ROUND('Inputs 2026'!D54*1234.5678,-2)</f>
        <v>12300</v>
      </c>
      <c r="L54" s="0" t="n">
        <f aca="false">IF('Inputs 2026'!B54&gt;'Inputs 2026'!C54,'Inputs 2026'!B54,'Inputs 2026'!C54*2)</f>
        <v>1</v>
      </c>
      <c r="M54" s="0" t="n">
        <f aca="false">IF('Inputs 2026'!B54='Inputs 2026'!C54,1,0)</f>
        <v>0</v>
      </c>
      <c r="N54" s="0" t="n">
        <f aca="false">IF('Inputs 2026'!D54&lt;&gt;0,'Inputs 2026'!B54/'Inputs 2026'!D54,0)</f>
        <v>0.1</v>
      </c>
      <c r="O54" s="0" t="n">
        <f aca="false">-'Inputs 2026'!B54%*50%</f>
        <v>-0.005</v>
      </c>
      <c r="P54" s="0" t="n">
        <f aca="false">C54*2+D54</f>
        <v>11.2</v>
      </c>
      <c r="Q54" s="0" t="e">
        <f aca="false">SUM($C$2:C54)</f>
        <v>#DIV/0!</v>
      </c>
      <c r="R54" s="0" t="n">
        <f aca="false">$D$2+P54</f>
        <v>12.875</v>
      </c>
      <c r="S54" s="0" t="n">
        <f aca="false">COUNT(B54:Q54)</f>
        <v>15</v>
      </c>
      <c r="T54" s="0" t="n">
        <f aca="false">IF('Inputs 2026'!E54&gt;5,1,0)</f>
        <v>1</v>
      </c>
      <c r="U54" s="0" t="n">
        <f aca="false">IF('Inputs 2026'!E54='Inputs 2026'!D54,1,0)</f>
        <v>0</v>
      </c>
      <c r="V54" s="0" t="e">
        <f aca="false">IF('Inputs 2026'!E54,1,2)</f>
        <v>#VALUE!</v>
      </c>
      <c r="W54" s="0" t="n">
        <f aca="false">IF('Inputs 2026'!B54&gt;0,IF('Inputs 2026'!C54&gt;0,1,2),3)</f>
        <v>2</v>
      </c>
      <c r="X54" s="0" t="n">
        <f aca="false">SUM('Inputs 2026'!E54,'Inputs 2026'!B54,5)</f>
        <v>6</v>
      </c>
      <c r="Y54" s="0" t="n">
        <f aca="false">MAX('Inputs 2026'!B54:C54,10)-MIN('Inputs 2026'!D54,'Inputs 2026'!E54)</f>
        <v>0</v>
      </c>
    </row>
    <row r="55" customFormat="false" ht="12.8" hidden="false" customHeight="false" outlineLevel="0" collapsed="false">
      <c r="A55" s="0" t="s">
        <v>60</v>
      </c>
      <c r="B55" s="0" t="n">
        <f aca="false">'Inputs 2026'!B55+'Inputs 2026'!C55*'Inputs 2026'!D55</f>
        <v>2471.8106</v>
      </c>
      <c r="C55" s="0" t="n">
        <f aca="false">('Inputs 2026'!B55-'Inputs 2026'!C55)/'Inputs 2026'!D55</f>
        <v>0.000546750044833504</v>
      </c>
      <c r="D55" s="0" t="n">
        <f aca="false">SUM('Inputs 2026'!B55:D55)</f>
        <v>1239.2428</v>
      </c>
      <c r="E55" s="0" t="n">
        <f aca="false">AVERAGE('Inputs 2026'!B55:E55)</f>
        <v>309.9357</v>
      </c>
      <c r="F55" s="0" t="n">
        <f aca="false">MIN('Inputs 2026'!B55:E55)</f>
        <v>0.5</v>
      </c>
      <c r="G55" s="0" t="n">
        <f aca="false">MAX('Inputs 2026'!B55:E55)</f>
        <v>1234.5678</v>
      </c>
      <c r="H55" s="0" t="n">
        <f aca="false">COUNT('Inputs 2026'!B55:E55)</f>
        <v>4</v>
      </c>
      <c r="I55" s="0" t="n">
        <f aca="false">ROUND('Inputs 2026'!B55/7,2)</f>
        <v>0.38</v>
      </c>
      <c r="J55" s="0" t="n">
        <f aca="false">ROUND('Inputs 2026'!C55*1.005,2)</f>
        <v>2.01</v>
      </c>
      <c r="K55" s="0" t="n">
        <f aca="false">ROUND('Inputs 2026'!D55*1234.5678,-2)</f>
        <v>1524200</v>
      </c>
      <c r="L55" s="0" t="n">
        <f aca="false">IF('Inputs 2026'!B55&gt;'Inputs 2026'!C55,'Inputs 2026'!B55,'Inputs 2026'!C55*2)</f>
        <v>2.675</v>
      </c>
      <c r="M55" s="0" t="n">
        <f aca="false">IF('Inputs 2026'!B55='Inputs 2026'!C55,1,0)</f>
        <v>0</v>
      </c>
      <c r="N55" s="0" t="n">
        <f aca="false">IF('Inputs 2026'!D55&lt;&gt;0,'Inputs 2026'!B55/'Inputs 2026'!D55,0)</f>
        <v>0.00216675017767351</v>
      </c>
      <c r="O55" s="0" t="n">
        <f aca="false">-'Inputs 2026'!B55%*50%</f>
        <v>-0.013375</v>
      </c>
      <c r="P55" s="0" t="n">
        <f aca="false">C55*2+D55</f>
        <v>1239.24389350009</v>
      </c>
      <c r="Q55" s="0" t="e">
        <f aca="false">SUM($C$2:C55)</f>
        <v>#DIV/0!</v>
      </c>
      <c r="R55" s="0" t="n">
        <f aca="false">$D$2+P55</f>
        <v>1240.91889350009</v>
      </c>
      <c r="S55" s="0" t="n">
        <f aca="false">COUNT(B55:Q55)</f>
        <v>15</v>
      </c>
      <c r="T55" s="0" t="n">
        <f aca="false">IF('Inputs 2026'!E55&gt;5,1,0)</f>
        <v>0</v>
      </c>
      <c r="U55" s="0" t="n">
        <f aca="false">IF('Inputs 2026'!E55='Inputs 2026'!D55,1,0)</f>
        <v>0</v>
      </c>
      <c r="V55" s="0" t="n">
        <f aca="false">IF('Inputs 2026'!E55,1,2)</f>
        <v>1</v>
      </c>
      <c r="W55" s="0" t="n">
        <f aca="false">IF('Inputs 2026'!B55&gt;0,IF('Inputs 2026'!C55&gt;0,1,2),3)</f>
        <v>1</v>
      </c>
      <c r="X55" s="0" t="n">
        <f aca="false">SUM('Inputs 2026'!E55,'Inputs 2026'!B55,5)</f>
        <v>8.175</v>
      </c>
      <c r="Y55" s="0" t="n">
        <f aca="false">MAX('Inputs 2026'!B55:C55,10)-MIN('Inputs 2026'!D55,'Inputs 2026'!E55)</f>
        <v>9.5</v>
      </c>
    </row>
    <row r="56" customFormat="false" ht="12.8" hidden="false" customHeight="false" outlineLevel="0" collapsed="false">
      <c r="A56" s="0" t="s">
        <v>61</v>
      </c>
      <c r="B56" s="0" t="n">
        <f aca="false">'Inputs 2026'!B56+'Inputs 2026'!C56*'Inputs 2026'!D56</f>
        <v>-343.35</v>
      </c>
      <c r="C56" s="0" t="n">
        <f aca="false">('Inputs 2026'!B56-'Inputs 2026'!C56)/'Inputs 2026'!D56</f>
        <v>-1716.75</v>
      </c>
      <c r="D56" s="0" t="n">
        <f aca="false">SUM('Inputs 2026'!B56:D56)</f>
        <v>-343.15</v>
      </c>
      <c r="E56" s="0" t="n">
        <f aca="false">AVERAGE('Inputs 2026'!B56:E56)</f>
        <v>-171.575</v>
      </c>
      <c r="F56" s="0" t="n">
        <f aca="false">MIN('Inputs 2026'!B56:E56)</f>
        <v>-343.35</v>
      </c>
      <c r="G56" s="0" t="n">
        <f aca="false">MAX('Inputs 2026'!B56:E56)</f>
        <v>0.2</v>
      </c>
      <c r="H56" s="0" t="n">
        <f aca="false">COUNT('Inputs 2026'!B56:E56)</f>
        <v>2</v>
      </c>
      <c r="I56" s="0" t="n">
        <f aca="false">ROUND('Inputs 2026'!B56/7,2)</f>
        <v>-49.05</v>
      </c>
      <c r="J56" s="0" t="n">
        <f aca="false">ROUND('Inputs 2026'!C56*1.005,2)</f>
        <v>0</v>
      </c>
      <c r="K56" s="0" t="n">
        <f aca="false">ROUND('Inputs 2026'!D56*1234.5678,-2)</f>
        <v>200</v>
      </c>
      <c r="L56" s="0" t="n">
        <f aca="false">IF('Inputs 2026'!B56&gt;'Inputs 2026'!C56,'Inputs 2026'!B56,'Inputs 2026'!C56*2)</f>
        <v>0</v>
      </c>
      <c r="M56" s="0" t="n">
        <f aca="false">IF('Inputs 2026'!B56='Inputs 2026'!C56,1,0)</f>
        <v>0</v>
      </c>
      <c r="N56" s="0" t="n">
        <f aca="false">IF('Inputs 2026'!D56&lt;&gt;0,'Inputs 2026'!B56/'Inputs 2026'!D56,0)</f>
        <v>-1716.75</v>
      </c>
      <c r="O56" s="0" t="n">
        <f aca="false">-'Inputs 2026'!B56%*50%</f>
        <v>1.71675</v>
      </c>
      <c r="P56" s="0" t="n">
        <f aca="false">C56*2+D56</f>
        <v>-3776.65</v>
      </c>
      <c r="Q56" s="0" t="e">
        <f aca="false">SUM($C$2:C56)</f>
        <v>#DIV/0!</v>
      </c>
      <c r="R56" s="0" t="n">
        <f aca="false">$D$2+P56</f>
        <v>-3774.975</v>
      </c>
      <c r="S56" s="0" t="n">
        <f aca="false">COUNT(B56:Q56)</f>
        <v>15</v>
      </c>
      <c r="T56" s="0" t="n">
        <f aca="false">IF('Inputs 2026'!E56&gt;5,1,0)</f>
        <v>1</v>
      </c>
      <c r="U56" s="0" t="n">
        <f aca="false">IF('Inputs 2026'!E56='Inputs 2026'!D56,1,0)</f>
        <v>0</v>
      </c>
      <c r="V56" s="0" t="e">
        <f aca="false">IF('Inputs 2026'!E56,1,2)</f>
        <v>#VALUE!</v>
      </c>
      <c r="W56" s="0" t="n">
        <f aca="false">IF('Inputs 2026'!B56&gt;0,IF('Inputs 2026'!C56&gt;0,1,2),3)</f>
        <v>3</v>
      </c>
      <c r="X56" s="0" t="n">
        <f aca="false">SUM('Inputs 2026'!E56,'Inputs 2026'!B56,5)</f>
        <v>-338.35</v>
      </c>
      <c r="Y56" s="0" t="n">
        <f aca="false">MAX('Inputs 2026'!B56:C56,10)-MIN('Inputs 2026'!D56,'Inputs 2026'!E56)</f>
        <v>9.8</v>
      </c>
    </row>
    <row r="57" customFormat="false" ht="12.8" hidden="false" customHeight="false" outlineLevel="0" collapsed="false">
      <c r="A57" s="0" t="s">
        <v>62</v>
      </c>
      <c r="B57" s="0" t="n">
        <f aca="false">'Inputs 2026'!B57+'Inputs 2026'!C57*'Inputs 2026'!D57</f>
        <v>-6519.99</v>
      </c>
      <c r="C57" s="0" t="n">
        <f aca="false">('Inputs 2026'!B57-'Inputs 2026'!C57)/'Inputs 2026'!D57</f>
        <v>0.173038461538462</v>
      </c>
      <c r="D57" s="0" t="n">
        <f aca="false">SUM('Inputs 2026'!B57:D57)</f>
        <v>-254.99</v>
      </c>
      <c r="E57" s="0" t="n">
        <f aca="false">AVERAGE('Inputs 2026'!B57:E57)</f>
        <v>-84.9966666666667</v>
      </c>
      <c r="F57" s="0" t="n">
        <f aca="false">MIN('Inputs 2026'!B57:E57)</f>
        <v>-260</v>
      </c>
      <c r="G57" s="0" t="n">
        <f aca="false">MAX('Inputs 2026'!B57:E57)</f>
        <v>25</v>
      </c>
      <c r="H57" s="0" t="n">
        <f aca="false">COUNT('Inputs 2026'!B57:E57)</f>
        <v>3</v>
      </c>
      <c r="I57" s="0" t="n">
        <f aca="false">ROUND('Inputs 2026'!B57/7,2)</f>
        <v>-2.86</v>
      </c>
      <c r="J57" s="0" t="n">
        <f aca="false">ROUND('Inputs 2026'!C57*1.005,2)</f>
        <v>25.13</v>
      </c>
      <c r="K57" s="0" t="n">
        <f aca="false">ROUND('Inputs 2026'!D57*1234.5678,-2)</f>
        <v>-321000</v>
      </c>
      <c r="L57" s="0" t="n">
        <f aca="false">IF('Inputs 2026'!B57&gt;'Inputs 2026'!C57,'Inputs 2026'!B57,'Inputs 2026'!C57*2)</f>
        <v>50</v>
      </c>
      <c r="M57" s="0" t="n">
        <f aca="false">IF('Inputs 2026'!B57='Inputs 2026'!C57,1,0)</f>
        <v>0</v>
      </c>
      <c r="N57" s="0" t="n">
        <f aca="false">IF('Inputs 2026'!D57&lt;&gt;0,'Inputs 2026'!B57/'Inputs 2026'!D57,0)</f>
        <v>0.0768846153846154</v>
      </c>
      <c r="O57" s="0" t="n">
        <f aca="false">-'Inputs 2026'!B57%*50%</f>
        <v>0.09995</v>
      </c>
      <c r="P57" s="0" t="n">
        <f aca="false">C57*2+D57</f>
        <v>-254.643923076923</v>
      </c>
      <c r="Q57" s="0" t="e">
        <f aca="false">SUM($C$2:C57)</f>
        <v>#DIV/0!</v>
      </c>
      <c r="R57" s="0" t="n">
        <f aca="false">$D$2+P57</f>
        <v>-252.968923076923</v>
      </c>
      <c r="S57" s="0" t="n">
        <f aca="false">COUNT(B57:Q57)</f>
        <v>15</v>
      </c>
      <c r="T57" s="0" t="n">
        <f aca="false">IF('Inputs 2026'!E57&gt;5,1,0)</f>
        <v>0</v>
      </c>
      <c r="U57" s="0" t="n">
        <f aca="false">IF('Inputs 2026'!E57='Inputs 2026'!D57,1,0)</f>
        <v>0</v>
      </c>
      <c r="V57" s="0" t="n">
        <f aca="false">IF('Inputs 2026'!E57,1,2)</f>
        <v>2</v>
      </c>
      <c r="W57" s="0" t="n">
        <f aca="false">IF('Inputs 2026'!B57&gt;0,IF('Inputs 2026'!C57&gt;0,1,2),3)</f>
        <v>3</v>
      </c>
      <c r="X57" s="0" t="n">
        <f aca="false">SUM('Inputs 2026'!E57,'Inputs 2026'!B57,5)</f>
        <v>-14.99</v>
      </c>
      <c r="Y57" s="0" t="n">
        <f aca="false">MAX('Inputs 2026'!B57:C57,10)-MIN('Inputs 2026'!D57,'Inputs 2026'!E57)</f>
        <v>285</v>
      </c>
    </row>
    <row r="58" customFormat="false" ht="12.8" hidden="false" customHeight="false" outlineLevel="0" collapsed="false">
      <c r="A58" s="0" t="s">
        <v>63</v>
      </c>
      <c r="B58" s="0" t="n">
        <f aca="false">'Inputs 2026'!B58+'Inputs 2026'!C58*'Inputs 2026'!D58</f>
        <v>4537.036665</v>
      </c>
      <c r="C58" s="0" t="n">
        <f aca="false">('Inputs 2026'!B58-'Inputs 2026'!C58)/'Inputs 2026'!D58</f>
        <v>0.997833249822327</v>
      </c>
      <c r="D58" s="0" t="n">
        <f aca="false">SUM('Inputs 2026'!B58:D58)</f>
        <v>2471.8106</v>
      </c>
      <c r="E58" s="0" t="n">
        <f aca="false">AVERAGE('Inputs 2026'!B58:E58)</f>
        <v>823.936866666667</v>
      </c>
      <c r="F58" s="0" t="n">
        <f aca="false">MIN('Inputs 2026'!B58:E58)</f>
        <v>2.675</v>
      </c>
      <c r="G58" s="0" t="n">
        <f aca="false">MAX('Inputs 2026'!B58:E58)</f>
        <v>1234.5678</v>
      </c>
      <c r="H58" s="0" t="n">
        <f aca="false">COUNT('Inputs 2026'!B58:E58)</f>
        <v>3</v>
      </c>
      <c r="I58" s="0" t="n">
        <f aca="false">ROUND('Inputs 2026'!B58/7,2)</f>
        <v>176.37</v>
      </c>
      <c r="J58" s="0" t="n">
        <f aca="false">ROUND('Inputs 2026'!C58*1.005,2)</f>
        <v>2.69</v>
      </c>
      <c r="K58" s="0" t="n">
        <f aca="false">ROUND('Inputs 2026'!D58*1234.5678,-2)</f>
        <v>1524200</v>
      </c>
      <c r="L58" s="0" t="n">
        <f aca="false">IF('Inputs 2026'!B58&gt;'Inputs 2026'!C58,'Inputs 2026'!B58,'Inputs 2026'!C58*2)</f>
        <v>1234.5678</v>
      </c>
      <c r="M58" s="0" t="n">
        <f aca="false">IF('Inputs 2026'!B58='Inputs 2026'!C58,1,0)</f>
        <v>0</v>
      </c>
      <c r="N58" s="0" t="n">
        <f aca="false">IF('Inputs 2026'!D58&lt;&gt;0,'Inputs 2026'!B58/'Inputs 2026'!D58,0)</f>
        <v>1</v>
      </c>
      <c r="O58" s="0" t="n">
        <f aca="false">-'Inputs 2026'!B58%*50%</f>
        <v>-6.172839</v>
      </c>
      <c r="P58" s="0" t="n">
        <f aca="false">C58*2+D58</f>
        <v>2473.80626649965</v>
      </c>
      <c r="Q58" s="0" t="e">
        <f aca="false">SUM($C$2:C58)</f>
        <v>#DIV/0!</v>
      </c>
      <c r="R58" s="0" t="n">
        <f aca="false">$D$2+P58</f>
        <v>2475.48126649965</v>
      </c>
      <c r="S58" s="0" t="n">
        <f aca="false">COUNT(B58:Q58)</f>
        <v>15</v>
      </c>
      <c r="T58" s="0" t="n">
        <f aca="false">IF('Inputs 2026'!E58&gt;5,1,0)</f>
        <v>0</v>
      </c>
      <c r="U58" s="0" t="n">
        <f aca="false">IF('Inputs 2026'!E58='Inputs 2026'!D58,1,0)</f>
        <v>0</v>
      </c>
      <c r="V58" s="0" t="n">
        <f aca="false">IF('Inputs 2026'!E58,1,2)</f>
        <v>2</v>
      </c>
      <c r="W58" s="0" t="n">
        <f aca="false">IF('Inputs 2026'!B58&gt;0,IF('Inputs 2026'!C58&gt;0,1,2),3)</f>
        <v>1</v>
      </c>
      <c r="X58" s="0" t="n">
        <f aca="false">SUM('Inputs 2026'!E58,'Inputs 2026'!B58,5)</f>
        <v>1239.5678</v>
      </c>
      <c r="Y58" s="0" t="n">
        <f aca="false">MAX('Inputs 2026'!B58:C58,10)-MIN('Inputs 2026'!D58,'Inputs 2026'!E58)</f>
        <v>0</v>
      </c>
    </row>
    <row r="59" customFormat="false" ht="12.8" hidden="false" customHeight="false" outlineLevel="0" collapsed="false">
      <c r="A59" s="0" t="s">
        <v>64</v>
      </c>
      <c r="B59" s="0" t="n">
        <f aca="false">'Inputs 2026'!B59+'Inputs 2026'!C59*'Inputs 2026'!D59</f>
        <v>2.675</v>
      </c>
      <c r="C59" s="0" t="e">
        <f aca="false">('Inputs 2026'!B59-'Inputs 2026'!C59)/'Inputs 2026'!D59</f>
        <v>#DIV/0!</v>
      </c>
      <c r="D59" s="0" t="n">
        <f aca="false">SUM('Inputs 2026'!B59:D59)</f>
        <v>2.775</v>
      </c>
      <c r="E59" s="0" t="n">
        <f aca="false">AVERAGE('Inputs 2026'!B59:E59)</f>
        <v>1.3875</v>
      </c>
      <c r="F59" s="0" t="n">
        <f aca="false">MIN('Inputs 2026'!B59:E59)</f>
        <v>0.1</v>
      </c>
      <c r="G59" s="0" t="n">
        <f aca="false">MAX('Inputs 2026'!B59:E59)</f>
        <v>2.675</v>
      </c>
      <c r="H59" s="0" t="n">
        <f aca="false">COUNT('Inputs 2026'!B59:E59)</f>
        <v>2</v>
      </c>
      <c r="I59" s="0" t="n">
        <f aca="false">ROUND('Inputs 2026'!B59/7,2)</f>
        <v>0.38</v>
      </c>
      <c r="J59" s="0" t="n">
        <f aca="false">ROUND('Inputs 2026'!C59*1.005,2)</f>
        <v>0.1</v>
      </c>
      <c r="K59" s="0" t="n">
        <f aca="false">ROUND('Inputs 2026'!D59*1234.5678,-2)</f>
        <v>0</v>
      </c>
      <c r="L59" s="0" t="n">
        <f aca="false">IF('Inputs 2026'!B59&gt;'Inputs 2026'!C59,'Inputs 2026'!B59,'Inputs 2026'!C59*2)</f>
        <v>2.675</v>
      </c>
      <c r="M59" s="0" t="n">
        <f aca="false">IF('Inputs 2026'!B59='Inputs 2026'!C59,1,0)</f>
        <v>0</v>
      </c>
      <c r="N59" s="0" t="n">
        <f aca="false">IF('Inputs 2026'!D59&lt;&gt;0,'Inputs 2026'!B59/'Inputs 2026'!D59,0)</f>
        <v>0</v>
      </c>
      <c r="O59" s="0" t="n">
        <f aca="false">-'Inputs 2026'!B59%*50%</f>
        <v>-0.013375</v>
      </c>
      <c r="P59" s="0" t="e">
        <f aca="false">C59*2+D59</f>
        <v>#DIV/0!</v>
      </c>
      <c r="Q59" s="0" t="e">
        <f aca="false">SUM($C$2:C59)</f>
        <v>#DIV/0!</v>
      </c>
      <c r="R59" s="0" t="e">
        <f aca="false">$D$2+P59</f>
        <v>#DIV/0!</v>
      </c>
      <c r="S59" s="0" t="n">
        <f aca="false">COUNT(B59:Q59)</f>
        <v>13</v>
      </c>
      <c r="T59" s="0" t="n">
        <f aca="false">IF('Inputs 2026'!E59&gt;5,1,0)</f>
        <v>0</v>
      </c>
      <c r="U59" s="0" t="n">
        <f aca="false">IF('Inputs 2026'!E59='Inputs 2026'!D59,1,0)</f>
        <v>1</v>
      </c>
      <c r="V59" s="0" t="n">
        <f aca="false">IF('Inputs 2026'!E59,1,2)</f>
        <v>2</v>
      </c>
      <c r="W59" s="0" t="n">
        <f aca="false">IF('Inputs 2026'!B59&gt;0,IF('Inputs 2026'!C59&gt;0,1,2),3)</f>
        <v>1</v>
      </c>
      <c r="X59" s="0" t="n">
        <f aca="false">SUM('Inputs 2026'!E59,'Inputs 2026'!B59,5)</f>
        <v>7.675</v>
      </c>
      <c r="Y59" s="0" t="n">
        <f aca="false">MAX('Inputs 2026'!B59:C59,10)-MIN('Inputs 2026'!D59,'Inputs 2026'!E59)</f>
        <v>10</v>
      </c>
    </row>
    <row r="60" customFormat="false" ht="12.8" hidden="false" customHeight="false" outlineLevel="0" collapsed="false">
      <c r="A60" s="0" t="s">
        <v>65</v>
      </c>
      <c r="B60" s="0" t="n">
        <f aca="false">'Inputs 2026'!B60+'Inputs 2026'!C60*'Inputs 2026'!D60</f>
        <v>-4</v>
      </c>
      <c r="C60" s="0" t="e">
        <f aca="false">('Inputs 2026'!B60-'Inputs 2026'!C60)/'Inputs 2026'!D60</f>
        <v>#DIV/0!</v>
      </c>
      <c r="D60" s="0" t="n">
        <f aca="false">SUM('Inputs 2026'!B60:D60)</f>
        <v>-4</v>
      </c>
      <c r="E60" s="0" t="n">
        <f aca="false">AVERAGE('Inputs 2026'!B60:E60)</f>
        <v>-2</v>
      </c>
      <c r="F60" s="0" t="n">
        <f aca="false">MIN('Inputs 2026'!B60:E60)</f>
        <v>-4</v>
      </c>
      <c r="G60" s="0" t="n">
        <f aca="false">MAX('Inputs 2026'!B60:E60)</f>
        <v>0</v>
      </c>
      <c r="H60" s="0" t="n">
        <f aca="false">COUNT('Inputs 2026'!B60:E60)</f>
        <v>2</v>
      </c>
      <c r="I60" s="0" t="n">
        <f aca="false">ROUND('Inputs 2026'!B60/7,2)</f>
        <v>-0.57</v>
      </c>
      <c r="J60" s="0" t="n">
        <f aca="false">ROUND('Inputs 2026'!C60*1.005,2)</f>
        <v>0</v>
      </c>
      <c r="K60" s="0" t="n">
        <f aca="false">ROUND('Inputs 2026'!D60*1234.5678,-2)</f>
        <v>0</v>
      </c>
      <c r="L60" s="0" t="n">
        <f aca="false">IF('Inputs 2026'!B60&gt;'Inputs 2026'!C60,'Inputs 2026'!B60,'Inputs 2026'!C60*2)</f>
        <v>0</v>
      </c>
      <c r="M60" s="0" t="n">
        <f aca="false">IF('Inputs 2026'!B60='Inputs 2026'!C60,1,0)</f>
        <v>0</v>
      </c>
      <c r="N60" s="0" t="n">
        <f aca="false">IF('Inputs 2026'!D60&lt;&gt;0,'Inputs 2026'!B60/'Inputs 2026'!D60,0)</f>
        <v>0</v>
      </c>
      <c r="O60" s="0" t="n">
        <f aca="false">-'Inputs 2026'!B60%*50%</f>
        <v>0.02</v>
      </c>
      <c r="P60" s="0" t="e">
        <f aca="false">C60*2+D60</f>
        <v>#DIV/0!</v>
      </c>
      <c r="Q60" s="0" t="e">
        <f aca="false">SUM($C$2:C60)</f>
        <v>#DIV/0!</v>
      </c>
      <c r="R60" s="0" t="e">
        <f aca="false">$D$2+P60</f>
        <v>#DIV/0!</v>
      </c>
      <c r="S60" s="0" t="n">
        <f aca="false">COUNT(B60:Q60)</f>
        <v>13</v>
      </c>
      <c r="T60" s="0" t="n">
        <f aca="false">IF('Inputs 2026'!E60&gt;5,1,0)</f>
        <v>0</v>
      </c>
      <c r="U60" s="0" t="n">
        <f aca="false">IF('Inputs 2026'!E60='Inputs 2026'!D60,1,0)</f>
        <v>1</v>
      </c>
      <c r="V60" s="0" t="n">
        <f aca="false">IF('Inputs 2026'!E60,1,2)</f>
        <v>2</v>
      </c>
      <c r="W60" s="0" t="n">
        <f aca="false">IF('Inputs 2026'!B60&gt;0,IF('Inputs 2026'!C60&gt;0,1,2),3)</f>
        <v>3</v>
      </c>
      <c r="X60" s="0" t="n">
        <f aca="false">SUM('Inputs 2026'!E60,'Inputs 2026'!B60,5)</f>
        <v>1</v>
      </c>
      <c r="Y60" s="0" t="n">
        <f aca="false">MAX('Inputs 2026'!B60:C60,10)-MIN('Inputs 2026'!D60,'Inputs 2026'!E60)</f>
        <v>10</v>
      </c>
    </row>
    <row r="61" customFormat="false" ht="12.8" hidden="false" customHeight="false" outlineLevel="0" collapsed="false">
      <c r="A61" s="0" t="s">
        <v>66</v>
      </c>
      <c r="B61" s="0" t="n">
        <f aca="false">'Inputs 2026'!B61+'Inputs 2026'!C61*'Inputs 2026'!D61</f>
        <v>-240.725</v>
      </c>
      <c r="C61" s="0" t="n">
        <f aca="false">('Inputs 2026'!B61-'Inputs 2026'!C61)/'Inputs 2026'!D61</f>
        <v>1562.9</v>
      </c>
      <c r="D61" s="0" t="n">
        <f aca="false">SUM('Inputs 2026'!B61:D61)</f>
        <v>-580.95</v>
      </c>
      <c r="E61" s="0" t="n">
        <f aca="false">AVERAGE('Inputs 2026'!B61:E61)</f>
        <v>-193.65</v>
      </c>
      <c r="F61" s="0" t="n">
        <f aca="false">MIN('Inputs 2026'!B61:E61)</f>
        <v>-681.45</v>
      </c>
      <c r="G61" s="0" t="n">
        <f aca="false">MAX('Inputs 2026'!B61:E61)</f>
        <v>100</v>
      </c>
      <c r="H61" s="0" t="n">
        <f aca="false">COUNT('Inputs 2026'!B61:E61)</f>
        <v>3</v>
      </c>
      <c r="I61" s="0" t="n">
        <f aca="false">ROUND('Inputs 2026'!B61/7,2)</f>
        <v>14.29</v>
      </c>
      <c r="J61" s="0" t="n">
        <f aca="false">ROUND('Inputs 2026'!C61*1.005,2)</f>
        <v>-684.86</v>
      </c>
      <c r="K61" s="0" t="n">
        <f aca="false">ROUND('Inputs 2026'!D61*1234.5678,-2)</f>
        <v>600</v>
      </c>
      <c r="L61" s="0" t="n">
        <f aca="false">IF('Inputs 2026'!B61&gt;'Inputs 2026'!C61,'Inputs 2026'!B61,'Inputs 2026'!C61*2)</f>
        <v>100</v>
      </c>
      <c r="M61" s="0" t="n">
        <f aca="false">IF('Inputs 2026'!B61='Inputs 2026'!C61,1,0)</f>
        <v>0</v>
      </c>
      <c r="N61" s="0" t="n">
        <f aca="false">IF('Inputs 2026'!D61&lt;&gt;0,'Inputs 2026'!B61/'Inputs 2026'!D61,0)</f>
        <v>200</v>
      </c>
      <c r="O61" s="0" t="n">
        <f aca="false">-'Inputs 2026'!B61%*50%</f>
        <v>-0.5</v>
      </c>
      <c r="P61" s="0" t="n">
        <f aca="false">C61*2+D61</f>
        <v>2544.85</v>
      </c>
      <c r="Q61" s="0" t="e">
        <f aca="false">SUM($C$2:C61)</f>
        <v>#DIV/0!</v>
      </c>
      <c r="R61" s="0" t="n">
        <f aca="false">$D$2+P61</f>
        <v>2546.525</v>
      </c>
      <c r="S61" s="0" t="n">
        <f aca="false">COUNT(B61:Q61)</f>
        <v>15</v>
      </c>
      <c r="T61" s="0" t="n">
        <f aca="false">IF('Inputs 2026'!E61&gt;5,1,0)</f>
        <v>0</v>
      </c>
      <c r="U61" s="0" t="n">
        <f aca="false">IF('Inputs 2026'!E61='Inputs 2026'!D61,1,0)</f>
        <v>0</v>
      </c>
      <c r="V61" s="0" t="n">
        <f aca="false">IF('Inputs 2026'!E61,1,2)</f>
        <v>2</v>
      </c>
      <c r="W61" s="0" t="n">
        <f aca="false">IF('Inputs 2026'!B61&gt;0,IF('Inputs 2026'!C61&gt;0,1,2),3)</f>
        <v>2</v>
      </c>
      <c r="X61" s="0" t="n">
        <f aca="false">SUM('Inputs 2026'!E61,'Inputs 2026'!B61,5)</f>
        <v>105</v>
      </c>
      <c r="Y61" s="0" t="n">
        <f aca="false">MAX('Inputs 2026'!B61:C61,10)-MIN('Inputs 2026'!D61,'Inputs 2026'!E61)</f>
        <v>99.5</v>
      </c>
    </row>
    <row r="62" customFormat="false" ht="12.8" hidden="false" customHeight="false" outlineLevel="0" collapsed="false">
      <c r="A62" s="0" t="s">
        <v>67</v>
      </c>
      <c r="B62" s="0" t="n">
        <f aca="false">'Inputs 2026'!B62+'Inputs 2026'!C62*'Inputs 2026'!D62</f>
        <v>-10500</v>
      </c>
      <c r="C62" s="0" t="n">
        <f aca="false">('Inputs 2026'!B62-'Inputs 2026'!C62)/'Inputs 2026'!D62</f>
        <v>-0</v>
      </c>
      <c r="D62" s="0" t="n">
        <f aca="false">SUM('Inputs 2026'!B62:D62)</f>
        <v>-371</v>
      </c>
      <c r="E62" s="0" t="n">
        <f aca="false">AVERAGE('Inputs 2026'!B62:E62)</f>
        <v>-90.25</v>
      </c>
      <c r="F62" s="0" t="n">
        <f aca="false">MIN('Inputs 2026'!B62:E62)</f>
        <v>-421</v>
      </c>
      <c r="G62" s="0" t="n">
        <f aca="false">MAX('Inputs 2026'!B62:E62)</f>
        <v>25</v>
      </c>
      <c r="H62" s="0" t="n">
        <f aca="false">COUNT('Inputs 2026'!B62:E62)</f>
        <v>4</v>
      </c>
      <c r="I62" s="0" t="n">
        <f aca="false">ROUND('Inputs 2026'!B62/7,2)</f>
        <v>3.57</v>
      </c>
      <c r="J62" s="0" t="n">
        <f aca="false">ROUND('Inputs 2026'!C62*1.005,2)</f>
        <v>25.13</v>
      </c>
      <c r="K62" s="0" t="n">
        <f aca="false">ROUND('Inputs 2026'!D62*1234.5678,-2)</f>
        <v>-519800</v>
      </c>
      <c r="L62" s="0" t="n">
        <f aca="false">IF('Inputs 2026'!B62&gt;'Inputs 2026'!C62,'Inputs 2026'!B62,'Inputs 2026'!C62*2)</f>
        <v>50</v>
      </c>
      <c r="M62" s="0" t="n">
        <f aca="false">IF('Inputs 2026'!B62='Inputs 2026'!C62,1,0)</f>
        <v>1</v>
      </c>
      <c r="N62" s="0" t="n">
        <f aca="false">IF('Inputs 2026'!D62&lt;&gt;0,'Inputs 2026'!B62/'Inputs 2026'!D62,0)</f>
        <v>-0.0593824228028504</v>
      </c>
      <c r="O62" s="0" t="n">
        <f aca="false">-'Inputs 2026'!B62%*50%</f>
        <v>-0.125</v>
      </c>
      <c r="P62" s="0" t="n">
        <f aca="false">C62*2+D62</f>
        <v>-371</v>
      </c>
      <c r="Q62" s="0" t="e">
        <f aca="false">SUM($C$2:C62)</f>
        <v>#DIV/0!</v>
      </c>
      <c r="R62" s="0" t="n">
        <f aca="false">$D$2+P62</f>
        <v>-369.325</v>
      </c>
      <c r="S62" s="0" t="n">
        <f aca="false">COUNT(B62:Q62)</f>
        <v>15</v>
      </c>
      <c r="T62" s="0" t="n">
        <f aca="false">IF('Inputs 2026'!E62&gt;5,1,0)</f>
        <v>1</v>
      </c>
      <c r="U62" s="0" t="n">
        <f aca="false">IF('Inputs 2026'!E62='Inputs 2026'!D62,1,0)</f>
        <v>0</v>
      </c>
      <c r="V62" s="0" t="n">
        <f aca="false">IF('Inputs 2026'!E62,1,2)</f>
        <v>1</v>
      </c>
      <c r="W62" s="0" t="n">
        <f aca="false">IF('Inputs 2026'!B62&gt;0,IF('Inputs 2026'!C62&gt;0,1,2),3)</f>
        <v>1</v>
      </c>
      <c r="X62" s="0" t="n">
        <f aca="false">SUM('Inputs 2026'!E62,'Inputs 2026'!B62,5)</f>
        <v>40</v>
      </c>
      <c r="Y62" s="0" t="n">
        <f aca="false">MAX('Inputs 2026'!B62:C62,10)-MIN('Inputs 2026'!D62,'Inputs 2026'!E62)</f>
        <v>446</v>
      </c>
    </row>
    <row r="63" customFormat="false" ht="12.8" hidden="false" customHeight="false" outlineLevel="0" collapsed="false">
      <c r="A63" s="0" t="s">
        <v>68</v>
      </c>
      <c r="B63" s="0" t="n">
        <f aca="false">'Inputs 2026'!B63+'Inputs 2026'!C63*'Inputs 2026'!D63</f>
        <v>1244.5678</v>
      </c>
      <c r="C63" s="0" t="n">
        <f aca="false">('Inputs 2026'!B63-'Inputs 2026'!C63)/'Inputs 2026'!D63</f>
        <v>-1224.5678</v>
      </c>
      <c r="D63" s="0" t="n">
        <f aca="false">SUM('Inputs 2026'!B63:D63)</f>
        <v>1245.5678</v>
      </c>
      <c r="E63" s="0" t="n">
        <f aca="false">AVERAGE('Inputs 2026'!B63:E63)</f>
        <v>415.189266666667</v>
      </c>
      <c r="F63" s="0" t="n">
        <f aca="false">MIN('Inputs 2026'!B63:E63)</f>
        <v>1</v>
      </c>
      <c r="G63" s="0" t="n">
        <f aca="false">MAX('Inputs 2026'!B63:E63)</f>
        <v>1234.5678</v>
      </c>
      <c r="H63" s="0" t="n">
        <f aca="false">COUNT('Inputs 2026'!B63:E63)</f>
        <v>3</v>
      </c>
      <c r="I63" s="0" t="n">
        <f aca="false">ROUND('Inputs 2026'!B63/7,2)</f>
        <v>1.43</v>
      </c>
      <c r="J63" s="0" t="n">
        <f aca="false">ROUND('Inputs 2026'!C63*1.005,2)</f>
        <v>1240.74</v>
      </c>
      <c r="K63" s="0" t="n">
        <f aca="false">ROUND('Inputs 2026'!D63*1234.5678,-2)</f>
        <v>1200</v>
      </c>
      <c r="L63" s="0" t="n">
        <f aca="false">IF('Inputs 2026'!B63&gt;'Inputs 2026'!C63,'Inputs 2026'!B63,'Inputs 2026'!C63*2)</f>
        <v>2469.1356</v>
      </c>
      <c r="M63" s="0" t="n">
        <f aca="false">IF('Inputs 2026'!B63='Inputs 2026'!C63,1,0)</f>
        <v>0</v>
      </c>
      <c r="N63" s="0" t="n">
        <f aca="false">IF('Inputs 2026'!D63&lt;&gt;0,'Inputs 2026'!B63/'Inputs 2026'!D63,0)</f>
        <v>10</v>
      </c>
      <c r="O63" s="0" t="n">
        <f aca="false">-'Inputs 2026'!B63%*50%</f>
        <v>-0.05</v>
      </c>
      <c r="P63" s="0" t="n">
        <f aca="false">C63*2+D63</f>
        <v>-1203.5678</v>
      </c>
      <c r="Q63" s="0" t="e">
        <f aca="false">SUM($C$2:C63)</f>
        <v>#DIV/0!</v>
      </c>
      <c r="R63" s="0" t="n">
        <f aca="false">$D$2+P63</f>
        <v>-1201.8928</v>
      </c>
      <c r="S63" s="0" t="n">
        <f aca="false">COUNT(B63:Q63)</f>
        <v>15</v>
      </c>
      <c r="T63" s="0" t="n">
        <f aca="false">IF('Inputs 2026'!E63&gt;5,1,0)</f>
        <v>0</v>
      </c>
      <c r="U63" s="0" t="n">
        <f aca="false">IF('Inputs 2026'!E63='Inputs 2026'!D63,1,0)</f>
        <v>0</v>
      </c>
      <c r="V63" s="0" t="n">
        <f aca="false">IF('Inputs 2026'!E63,1,2)</f>
        <v>2</v>
      </c>
      <c r="W63" s="0" t="n">
        <f aca="false">IF('Inputs 2026'!B63&gt;0,IF('Inputs 2026'!C63&gt;0,1,2),3)</f>
        <v>1</v>
      </c>
      <c r="X63" s="0" t="n">
        <f aca="false">SUM('Inputs 2026'!E63,'Inputs 2026'!B63,5)</f>
        <v>15</v>
      </c>
      <c r="Y63" s="0" t="n">
        <f aca="false">MAX('Inputs 2026'!B63:C63,10)-MIN('Inputs 2026'!D63,'Inputs 2026'!E63)</f>
        <v>1233.5678</v>
      </c>
    </row>
    <row r="64" customFormat="false" ht="12.8" hidden="false" customHeight="false" outlineLevel="0" collapsed="false">
      <c r="A64" s="0" t="s">
        <v>69</v>
      </c>
      <c r="B64" s="0" t="n">
        <f aca="false">'Inputs 2026'!B64+'Inputs 2026'!C64*'Inputs 2026'!D64</f>
        <v>-919.075</v>
      </c>
      <c r="C64" s="0" t="n">
        <f aca="false">('Inputs 2026'!B64-'Inputs 2026'!C64)/'Inputs 2026'!D64</f>
        <v>0.0456101643335362</v>
      </c>
      <c r="D64" s="0" t="n">
        <f aca="false">SUM('Inputs 2026'!B64:D64)</f>
        <v>-123.435</v>
      </c>
      <c r="E64" s="0" t="n">
        <f aca="false">AVERAGE('Inputs 2026'!B64:E64)</f>
        <v>-41.145</v>
      </c>
      <c r="F64" s="0" t="n">
        <f aca="false">MIN('Inputs 2026'!B64:E64)</f>
        <v>-131.44</v>
      </c>
      <c r="G64" s="0" t="n">
        <f aca="false">MAX('Inputs 2026'!B64:E64)</f>
        <v>7</v>
      </c>
      <c r="H64" s="0" t="n">
        <f aca="false">COUNT('Inputs 2026'!B64:E64)</f>
        <v>3</v>
      </c>
      <c r="I64" s="0" t="n">
        <f aca="false">ROUND('Inputs 2026'!B64/7,2)</f>
        <v>0.14</v>
      </c>
      <c r="J64" s="0" t="n">
        <f aca="false">ROUND('Inputs 2026'!C64*1.005,2)</f>
        <v>7.04</v>
      </c>
      <c r="K64" s="0" t="n">
        <f aca="false">ROUND('Inputs 2026'!D64*1234.5678,-2)</f>
        <v>-162300</v>
      </c>
      <c r="L64" s="0" t="n">
        <f aca="false">IF('Inputs 2026'!B64&gt;'Inputs 2026'!C64,'Inputs 2026'!B64,'Inputs 2026'!C64*2)</f>
        <v>14</v>
      </c>
      <c r="M64" s="0" t="n">
        <f aca="false">IF('Inputs 2026'!B64='Inputs 2026'!C64,1,0)</f>
        <v>0</v>
      </c>
      <c r="N64" s="0" t="n">
        <f aca="false">IF('Inputs 2026'!D64&lt;&gt;0,'Inputs 2026'!B64/'Inputs 2026'!D64,0)</f>
        <v>-0.00764607425441266</v>
      </c>
      <c r="O64" s="0" t="n">
        <f aca="false">-'Inputs 2026'!B64%*50%</f>
        <v>-0.005025</v>
      </c>
      <c r="P64" s="0" t="n">
        <f aca="false">C64*2+D64</f>
        <v>-123.343779671333</v>
      </c>
      <c r="Q64" s="0" t="e">
        <f aca="false">SUM($C$2:C64)</f>
        <v>#DIV/0!</v>
      </c>
      <c r="R64" s="0" t="n">
        <f aca="false">$D$2+P64</f>
        <v>-121.668779671333</v>
      </c>
      <c r="S64" s="0" t="n">
        <f aca="false">COUNT(B64:Q64)</f>
        <v>15</v>
      </c>
      <c r="T64" s="0" t="n">
        <f aca="false">IF('Inputs 2026'!E64&gt;5,1,0)</f>
        <v>1</v>
      </c>
      <c r="U64" s="0" t="n">
        <f aca="false">IF('Inputs 2026'!E64='Inputs 2026'!D64,1,0)</f>
        <v>0</v>
      </c>
      <c r="V64" s="0" t="e">
        <f aca="false">IF('Inputs 2026'!E64,1,2)</f>
        <v>#VALUE!</v>
      </c>
      <c r="W64" s="0" t="n">
        <f aca="false">IF('Inputs 2026'!B64&gt;0,IF('Inputs 2026'!C64&gt;0,1,2),3)</f>
        <v>1</v>
      </c>
      <c r="X64" s="0" t="n">
        <f aca="false">SUM('Inputs 2026'!E64,'Inputs 2026'!B64,5)</f>
        <v>6.005</v>
      </c>
      <c r="Y64" s="0" t="n">
        <f aca="false">MAX('Inputs 2026'!B64:C64,10)-MIN('Inputs 2026'!D64,'Inputs 2026'!E64)</f>
        <v>141.44</v>
      </c>
    </row>
    <row r="65" customFormat="false" ht="12.8" hidden="false" customHeight="false" outlineLevel="0" collapsed="false">
      <c r="A65" s="0" t="s">
        <v>70</v>
      </c>
      <c r="B65" s="0" t="n">
        <f aca="false">'Inputs 2026'!B65+'Inputs 2026'!C65*'Inputs 2026'!D65</f>
        <v>2600</v>
      </c>
      <c r="C65" s="0" t="n">
        <f aca="false">('Inputs 2026'!B65-'Inputs 2026'!C65)/'Inputs 2026'!D65</f>
        <v>0</v>
      </c>
      <c r="D65" s="0" t="n">
        <f aca="false">SUM('Inputs 2026'!B65:D65)</f>
        <v>225</v>
      </c>
      <c r="E65" s="0" t="n">
        <f aca="false">AVERAGE('Inputs 2026'!B65:E65)</f>
        <v>75</v>
      </c>
      <c r="F65" s="0" t="n">
        <f aca="false">MIN('Inputs 2026'!B65:E65)</f>
        <v>25</v>
      </c>
      <c r="G65" s="0" t="n">
        <f aca="false">MAX('Inputs 2026'!B65:E65)</f>
        <v>100</v>
      </c>
      <c r="H65" s="0" t="n">
        <f aca="false">COUNT('Inputs 2026'!B65:E65)</f>
        <v>3</v>
      </c>
      <c r="I65" s="0" t="n">
        <f aca="false">ROUND('Inputs 2026'!B65/7,2)</f>
        <v>14.29</v>
      </c>
      <c r="J65" s="0" t="n">
        <f aca="false">ROUND('Inputs 2026'!C65*1.005,2)</f>
        <v>100.5</v>
      </c>
      <c r="K65" s="0" t="n">
        <f aca="false">ROUND('Inputs 2026'!D65*1234.5678,-2)</f>
        <v>30900</v>
      </c>
      <c r="L65" s="0" t="n">
        <f aca="false">IF('Inputs 2026'!B65&gt;'Inputs 2026'!C65,'Inputs 2026'!B65,'Inputs 2026'!C65*2)</f>
        <v>200</v>
      </c>
      <c r="M65" s="0" t="n">
        <f aca="false">IF('Inputs 2026'!B65='Inputs 2026'!C65,1,0)</f>
        <v>1</v>
      </c>
      <c r="N65" s="0" t="n">
        <f aca="false">IF('Inputs 2026'!D65&lt;&gt;0,'Inputs 2026'!B65/'Inputs 2026'!D65,0)</f>
        <v>4</v>
      </c>
      <c r="O65" s="0" t="n">
        <f aca="false">-'Inputs 2026'!B65%*50%</f>
        <v>-0.5</v>
      </c>
      <c r="P65" s="0" t="n">
        <f aca="false">C65*2+D65</f>
        <v>225</v>
      </c>
      <c r="Q65" s="0" t="e">
        <f aca="false">SUM($C$2:C65)</f>
        <v>#DIV/0!</v>
      </c>
      <c r="R65" s="0" t="n">
        <f aca="false">$D$2+P65</f>
        <v>226.675</v>
      </c>
      <c r="S65" s="0" t="n">
        <f aca="false">COUNT(B65:Q65)</f>
        <v>15</v>
      </c>
      <c r="T65" s="0" t="n">
        <f aca="false">IF('Inputs 2026'!E65&gt;5,1,0)</f>
        <v>1</v>
      </c>
      <c r="U65" s="0" t="n">
        <f aca="false">IF('Inputs 2026'!E65='Inputs 2026'!D65,1,0)</f>
        <v>0</v>
      </c>
      <c r="V65" s="0" t="e">
        <f aca="false">IF('Inputs 2026'!E65,1,2)</f>
        <v>#VALUE!</v>
      </c>
      <c r="W65" s="0" t="n">
        <f aca="false">IF('Inputs 2026'!B65&gt;0,IF('Inputs 2026'!C65&gt;0,1,2),3)</f>
        <v>1</v>
      </c>
      <c r="X65" s="0" t="n">
        <f aca="false">SUM('Inputs 2026'!E65,'Inputs 2026'!B65,5)</f>
        <v>105</v>
      </c>
      <c r="Y65" s="0" t="n">
        <f aca="false">MAX('Inputs 2026'!B65:C65,10)-MIN('Inputs 2026'!D65,'Inputs 2026'!E65)</f>
        <v>75</v>
      </c>
    </row>
    <row r="66" customFormat="false" ht="12.8" hidden="false" customHeight="false" outlineLevel="0" collapsed="false">
      <c r="A66" s="0" t="s">
        <v>71</v>
      </c>
      <c r="B66" s="0" t="n">
        <f aca="false">'Inputs 2026'!B66+'Inputs 2026'!C66*'Inputs 2026'!D66</f>
        <v>8.75</v>
      </c>
      <c r="C66" s="0" t="n">
        <f aca="false">('Inputs 2026'!B66-'Inputs 2026'!C66)/'Inputs 2026'!D66</f>
        <v>0.964285714285714</v>
      </c>
      <c r="D66" s="0" t="n">
        <f aca="false">SUM('Inputs 2026'!B66:D66)</f>
        <v>14.25</v>
      </c>
      <c r="E66" s="0" t="n">
        <f aca="false">AVERAGE('Inputs 2026'!B66:E66)</f>
        <v>3.6875</v>
      </c>
      <c r="F66" s="0" t="n">
        <f aca="false">MIN('Inputs 2026'!B66:E66)</f>
        <v>0.25</v>
      </c>
      <c r="G66" s="0" t="n">
        <f aca="false">MAX('Inputs 2026'!B66:E66)</f>
        <v>7</v>
      </c>
      <c r="H66" s="0" t="n">
        <f aca="false">COUNT('Inputs 2026'!B66:E66)</f>
        <v>4</v>
      </c>
      <c r="I66" s="0" t="n">
        <f aca="false">ROUND('Inputs 2026'!B66/7,2)</f>
        <v>1</v>
      </c>
      <c r="J66" s="0" t="n">
        <f aca="false">ROUND('Inputs 2026'!C66*1.005,2)</f>
        <v>0.25</v>
      </c>
      <c r="K66" s="0" t="n">
        <f aca="false">ROUND('Inputs 2026'!D66*1234.5678,-2)</f>
        <v>8600</v>
      </c>
      <c r="L66" s="0" t="n">
        <f aca="false">IF('Inputs 2026'!B66&gt;'Inputs 2026'!C66,'Inputs 2026'!B66,'Inputs 2026'!C66*2)</f>
        <v>7</v>
      </c>
      <c r="M66" s="0" t="n">
        <f aca="false">IF('Inputs 2026'!B66='Inputs 2026'!C66,1,0)</f>
        <v>0</v>
      </c>
      <c r="N66" s="0" t="n">
        <f aca="false">IF('Inputs 2026'!D66&lt;&gt;0,'Inputs 2026'!B66/'Inputs 2026'!D66,0)</f>
        <v>1</v>
      </c>
      <c r="O66" s="0" t="n">
        <f aca="false">-'Inputs 2026'!B66%*50%</f>
        <v>-0.035</v>
      </c>
      <c r="P66" s="0" t="n">
        <f aca="false">C66*2+D66</f>
        <v>16.1785714285714</v>
      </c>
      <c r="Q66" s="0" t="e">
        <f aca="false">SUM($C$2:C66)</f>
        <v>#DIV/0!</v>
      </c>
      <c r="R66" s="0" t="n">
        <f aca="false">$D$2+P66</f>
        <v>17.8535714285714</v>
      </c>
      <c r="S66" s="0" t="n">
        <f aca="false">COUNT(B66:Q66)</f>
        <v>15</v>
      </c>
      <c r="T66" s="0" t="n">
        <f aca="false">IF('Inputs 2026'!E66&gt;5,1,0)</f>
        <v>0</v>
      </c>
      <c r="U66" s="0" t="n">
        <f aca="false">IF('Inputs 2026'!E66='Inputs 2026'!D66,1,0)</f>
        <v>0</v>
      </c>
      <c r="V66" s="0" t="n">
        <f aca="false">IF('Inputs 2026'!E66,1,2)</f>
        <v>1</v>
      </c>
      <c r="W66" s="0" t="n">
        <f aca="false">IF('Inputs 2026'!B66&gt;0,IF('Inputs 2026'!C66&gt;0,1,2),3)</f>
        <v>1</v>
      </c>
      <c r="X66" s="0" t="n">
        <f aca="false">SUM('Inputs 2026'!E66,'Inputs 2026'!B66,5)</f>
        <v>12.5</v>
      </c>
      <c r="Y66" s="0" t="n">
        <f aca="false">MAX('Inputs 2026'!B66:C66,10)-MIN('Inputs 2026'!D66,'Inputs 2026'!E66)</f>
        <v>9.5</v>
      </c>
    </row>
    <row r="67" customFormat="false" ht="12.8" hidden="false" customHeight="false" outlineLevel="0" collapsed="false">
      <c r="A67" s="0" t="s">
        <v>72</v>
      </c>
      <c r="B67" s="0" t="n">
        <f aca="false">'Inputs 2026'!B67+'Inputs 2026'!C67*'Inputs 2026'!D67</f>
        <v>2470.1406</v>
      </c>
      <c r="C67" s="0" t="n">
        <f aca="false">('Inputs 2026'!B67-'Inputs 2026'!C67)/'Inputs 2026'!D67</f>
        <v>-0.000805950066087906</v>
      </c>
      <c r="D67" s="0" t="n">
        <f aca="false">SUM('Inputs 2026'!B67:D67)</f>
        <v>1237.5728</v>
      </c>
      <c r="E67" s="0" t="n">
        <f aca="false">AVERAGE('Inputs 2026'!B67:E67)</f>
        <v>412.524266666667</v>
      </c>
      <c r="F67" s="0" t="n">
        <f aca="false">MIN('Inputs 2026'!B67:E67)</f>
        <v>1.005</v>
      </c>
      <c r="G67" s="0" t="n">
        <f aca="false">MAX('Inputs 2026'!B67:E67)</f>
        <v>1234.5678</v>
      </c>
      <c r="H67" s="0" t="n">
        <f aca="false">COUNT('Inputs 2026'!B67:E67)</f>
        <v>3</v>
      </c>
      <c r="I67" s="0" t="n">
        <f aca="false">ROUND('Inputs 2026'!B67/7,2)</f>
        <v>0.14</v>
      </c>
      <c r="J67" s="0" t="n">
        <f aca="false">ROUND('Inputs 2026'!C67*1.005,2)</f>
        <v>2.01</v>
      </c>
      <c r="K67" s="0" t="n">
        <f aca="false">ROUND('Inputs 2026'!D67*1234.5678,-2)</f>
        <v>1524200</v>
      </c>
      <c r="L67" s="0" t="n">
        <f aca="false">IF('Inputs 2026'!B67&gt;'Inputs 2026'!C67,'Inputs 2026'!B67,'Inputs 2026'!C67*2)</f>
        <v>4</v>
      </c>
      <c r="M67" s="0" t="n">
        <f aca="false">IF('Inputs 2026'!B67='Inputs 2026'!C67,1,0)</f>
        <v>0</v>
      </c>
      <c r="N67" s="0" t="n">
        <f aca="false">IF('Inputs 2026'!D67&lt;&gt;0,'Inputs 2026'!B67/'Inputs 2026'!D67,0)</f>
        <v>0.000814050066752105</v>
      </c>
      <c r="O67" s="0" t="n">
        <f aca="false">-'Inputs 2026'!B67%*50%</f>
        <v>-0.005025</v>
      </c>
      <c r="P67" s="0" t="n">
        <f aca="false">C67*2+D67</f>
        <v>1237.57118809987</v>
      </c>
      <c r="Q67" s="0" t="e">
        <f aca="false">SUM($C$2:C67)</f>
        <v>#DIV/0!</v>
      </c>
      <c r="R67" s="0" t="n">
        <f aca="false">$D$2+P67</f>
        <v>1239.24618809987</v>
      </c>
      <c r="S67" s="0" t="n">
        <f aca="false">COUNT(B67:Q67)</f>
        <v>15</v>
      </c>
      <c r="T67" s="0" t="n">
        <f aca="false">IF('Inputs 2026'!E67&gt;5,1,0)</f>
        <v>1</v>
      </c>
      <c r="U67" s="0" t="n">
        <f aca="false">IF('Inputs 2026'!E67='Inputs 2026'!D67,1,0)</f>
        <v>0</v>
      </c>
      <c r="V67" s="0" t="e">
        <f aca="false">IF('Inputs 2026'!E67,1,2)</f>
        <v>#VALUE!</v>
      </c>
      <c r="W67" s="0" t="n">
        <f aca="false">IF('Inputs 2026'!B67&gt;0,IF('Inputs 2026'!C67&gt;0,1,2),3)</f>
        <v>1</v>
      </c>
      <c r="X67" s="0" t="n">
        <f aca="false">SUM('Inputs 2026'!E67,'Inputs 2026'!B67,5)</f>
        <v>6.005</v>
      </c>
      <c r="Y67" s="0" t="n">
        <f aca="false">MAX('Inputs 2026'!B67:C67,10)-MIN('Inputs 2026'!D67,'Inputs 2026'!E67)</f>
        <v>-1224.5678</v>
      </c>
    </row>
    <row r="68" customFormat="false" ht="12.8" hidden="false" customHeight="false" outlineLevel="0" collapsed="false">
      <c r="A68" s="0" t="s">
        <v>73</v>
      </c>
      <c r="B68" s="0" t="n">
        <f aca="false">'Inputs 2026'!B68+'Inputs 2026'!C68*'Inputs 2026'!D68</f>
        <v>0</v>
      </c>
      <c r="C68" s="0" t="n">
        <f aca="false">('Inputs 2026'!B68-'Inputs 2026'!C68)/'Inputs 2026'!D68</f>
        <v>-6</v>
      </c>
      <c r="D68" s="0" t="n">
        <f aca="false">SUM('Inputs 2026'!B68:D68)</f>
        <v>1.5</v>
      </c>
      <c r="E68" s="0" t="n">
        <f aca="false">AVERAGE('Inputs 2026'!B68:E68)</f>
        <v>0.5</v>
      </c>
      <c r="F68" s="0" t="n">
        <f aca="false">MIN('Inputs 2026'!B68:E68)</f>
        <v>-1</v>
      </c>
      <c r="G68" s="0" t="n">
        <f aca="false">MAX('Inputs 2026'!B68:E68)</f>
        <v>2</v>
      </c>
      <c r="H68" s="0" t="n">
        <f aca="false">COUNT('Inputs 2026'!B68:E68)</f>
        <v>3</v>
      </c>
      <c r="I68" s="0" t="n">
        <f aca="false">ROUND('Inputs 2026'!B68/7,2)</f>
        <v>-0.14</v>
      </c>
      <c r="J68" s="0" t="n">
        <f aca="false">ROUND('Inputs 2026'!C68*1.005,2)</f>
        <v>2.01</v>
      </c>
      <c r="K68" s="0" t="n">
        <f aca="false">ROUND('Inputs 2026'!D68*1234.5678,-2)</f>
        <v>600</v>
      </c>
      <c r="L68" s="0" t="n">
        <f aca="false">IF('Inputs 2026'!B68&gt;'Inputs 2026'!C68,'Inputs 2026'!B68,'Inputs 2026'!C68*2)</f>
        <v>4</v>
      </c>
      <c r="M68" s="0" t="n">
        <f aca="false">IF('Inputs 2026'!B68='Inputs 2026'!C68,1,0)</f>
        <v>0</v>
      </c>
      <c r="N68" s="0" t="n">
        <f aca="false">IF('Inputs 2026'!D68&lt;&gt;0,'Inputs 2026'!B68/'Inputs 2026'!D68,0)</f>
        <v>-2</v>
      </c>
      <c r="O68" s="0" t="n">
        <f aca="false">-'Inputs 2026'!B68%*50%</f>
        <v>0.005</v>
      </c>
      <c r="P68" s="0" t="n">
        <f aca="false">C68*2+D68</f>
        <v>-10.5</v>
      </c>
      <c r="Q68" s="0" t="e">
        <f aca="false">SUM($C$2:C68)</f>
        <v>#DIV/0!</v>
      </c>
      <c r="R68" s="0" t="n">
        <f aca="false">$D$2+P68</f>
        <v>-8.825</v>
      </c>
      <c r="S68" s="0" t="n">
        <f aca="false">COUNT(B68:Q68)</f>
        <v>15</v>
      </c>
      <c r="T68" s="0" t="n">
        <f aca="false">IF('Inputs 2026'!E68&gt;5,1,0)</f>
        <v>1</v>
      </c>
      <c r="U68" s="0" t="n">
        <f aca="false">IF('Inputs 2026'!E68='Inputs 2026'!D68,1,0)</f>
        <v>0</v>
      </c>
      <c r="V68" s="0" t="e">
        <f aca="false">IF('Inputs 2026'!E68,1,2)</f>
        <v>#VALUE!</v>
      </c>
      <c r="W68" s="0" t="n">
        <f aca="false">IF('Inputs 2026'!B68&gt;0,IF('Inputs 2026'!C68&gt;0,1,2),3)</f>
        <v>3</v>
      </c>
      <c r="X68" s="0" t="n">
        <f aca="false">SUM('Inputs 2026'!E68,'Inputs 2026'!B68,5)</f>
        <v>4</v>
      </c>
      <c r="Y68" s="0" t="n">
        <f aca="false">MAX('Inputs 2026'!B68:C68,10)-MIN('Inputs 2026'!D68,'Inputs 2026'!E68)</f>
        <v>9.5</v>
      </c>
    </row>
    <row r="69" customFormat="false" ht="12.8" hidden="false" customHeight="false" outlineLevel="0" collapsed="false">
      <c r="A69" s="0" t="s">
        <v>74</v>
      </c>
      <c r="B69" s="0" t="n">
        <f aca="false">'Inputs 2026'!B69+'Inputs 2026'!C69*'Inputs 2026'!D69</f>
        <v>202</v>
      </c>
      <c r="C69" s="0" t="n">
        <f aca="false">('Inputs 2026'!B69-'Inputs 2026'!C69)/'Inputs 2026'!D69</f>
        <v>9.12</v>
      </c>
      <c r="D69" s="0" t="n">
        <f aca="false">SUM('Inputs 2026'!B69:D69)</f>
        <v>251</v>
      </c>
      <c r="E69" s="0" t="n">
        <f aca="false">AVERAGE('Inputs 2026'!B69:E69)</f>
        <v>63.41875</v>
      </c>
      <c r="F69" s="0" t="n">
        <f aca="false">MIN('Inputs 2026'!B69:E69)</f>
        <v>-1</v>
      </c>
      <c r="G69" s="0" t="n">
        <f aca="false">MAX('Inputs 2026'!B69:E69)</f>
        <v>227</v>
      </c>
      <c r="H69" s="0" t="n">
        <f aca="false">COUNT('Inputs 2026'!B69:E69)</f>
        <v>4</v>
      </c>
      <c r="I69" s="0" t="n">
        <f aca="false">ROUND('Inputs 2026'!B69/7,2)</f>
        <v>32.43</v>
      </c>
      <c r="J69" s="0" t="n">
        <f aca="false">ROUND('Inputs 2026'!C69*1.005,2)</f>
        <v>-1.01</v>
      </c>
      <c r="K69" s="0" t="n">
        <f aca="false">ROUND('Inputs 2026'!D69*1234.5678,-2)</f>
        <v>30900</v>
      </c>
      <c r="L69" s="0" t="n">
        <f aca="false">IF('Inputs 2026'!B69&gt;'Inputs 2026'!C69,'Inputs 2026'!B69,'Inputs 2026'!C69*2)</f>
        <v>227</v>
      </c>
      <c r="M69" s="0" t="n">
        <f aca="false">IF('Inputs 2026'!B69='Inputs 2026'!C69,1,0)</f>
        <v>0</v>
      </c>
      <c r="N69" s="0" t="n">
        <f aca="false">IF('Inputs 2026'!D69&lt;&gt;0,'Inputs 2026'!B69/'Inputs 2026'!D69,0)</f>
        <v>9.08</v>
      </c>
      <c r="O69" s="0" t="n">
        <f aca="false">-'Inputs 2026'!B69%*50%</f>
        <v>-1.135</v>
      </c>
      <c r="P69" s="0" t="n">
        <f aca="false">C69*2+D69</f>
        <v>269.24</v>
      </c>
      <c r="Q69" s="0" t="e">
        <f aca="false">SUM($C$2:C69)</f>
        <v>#DIV/0!</v>
      </c>
      <c r="R69" s="0" t="n">
        <f aca="false">$D$2+P69</f>
        <v>270.915</v>
      </c>
      <c r="S69" s="0" t="n">
        <f aca="false">COUNT(B69:Q69)</f>
        <v>15</v>
      </c>
      <c r="T69" s="0" t="n">
        <f aca="false">IF('Inputs 2026'!E69&gt;5,1,0)</f>
        <v>0</v>
      </c>
      <c r="U69" s="0" t="n">
        <f aca="false">IF('Inputs 2026'!E69='Inputs 2026'!D69,1,0)</f>
        <v>0</v>
      </c>
      <c r="V69" s="0" t="n">
        <f aca="false">IF('Inputs 2026'!E69,1,2)</f>
        <v>1</v>
      </c>
      <c r="W69" s="0" t="n">
        <f aca="false">IF('Inputs 2026'!B69&gt;0,IF('Inputs 2026'!C69&gt;0,1,2),3)</f>
        <v>2</v>
      </c>
      <c r="X69" s="0" t="n">
        <f aca="false">SUM('Inputs 2026'!E69,'Inputs 2026'!B69,5)</f>
        <v>234.675</v>
      </c>
      <c r="Y69" s="0" t="n">
        <f aca="false">MAX('Inputs 2026'!B69:C69,10)-MIN('Inputs 2026'!D69,'Inputs 2026'!E69)</f>
        <v>224.325</v>
      </c>
    </row>
    <row r="70" customFormat="false" ht="12.8" hidden="false" customHeight="false" outlineLevel="0" collapsed="false">
      <c r="A70" s="0" t="s">
        <v>75</v>
      </c>
      <c r="B70" s="0" t="n">
        <f aca="false">'Inputs 2026'!B70+'Inputs 2026'!C70*'Inputs 2026'!D70</f>
        <v>-1228</v>
      </c>
      <c r="C70" s="0" t="n">
        <f aca="false">('Inputs 2026'!B70-'Inputs 2026'!C70)/'Inputs 2026'!D70</f>
        <v>0.017156862745098</v>
      </c>
      <c r="D70" s="0" t="n">
        <f aca="false">SUM('Inputs 2026'!B70:D70)</f>
        <v>-409</v>
      </c>
      <c r="E70" s="0" t="n">
        <f aca="false">AVERAGE('Inputs 2026'!B70:E70)</f>
        <v>-136.333333333333</v>
      </c>
      <c r="F70" s="0" t="n">
        <f aca="false">MIN('Inputs 2026'!B70:E70)</f>
        <v>-408</v>
      </c>
      <c r="G70" s="0" t="n">
        <f aca="false">MAX('Inputs 2026'!B70:E70)</f>
        <v>3</v>
      </c>
      <c r="H70" s="0" t="n">
        <f aca="false">COUNT('Inputs 2026'!B70:E70)</f>
        <v>3</v>
      </c>
      <c r="I70" s="0" t="n">
        <f aca="false">ROUND('Inputs 2026'!B70/7,2)</f>
        <v>-0.57</v>
      </c>
      <c r="J70" s="0" t="n">
        <f aca="false">ROUND('Inputs 2026'!C70*1.005,2)</f>
        <v>3.02</v>
      </c>
      <c r="K70" s="0" t="n">
        <f aca="false">ROUND('Inputs 2026'!D70*1234.5678,-2)</f>
        <v>-503700</v>
      </c>
      <c r="L70" s="0" t="n">
        <f aca="false">IF('Inputs 2026'!B70&gt;'Inputs 2026'!C70,'Inputs 2026'!B70,'Inputs 2026'!C70*2)</f>
        <v>6</v>
      </c>
      <c r="M70" s="0" t="n">
        <f aca="false">IF('Inputs 2026'!B70='Inputs 2026'!C70,1,0)</f>
        <v>0</v>
      </c>
      <c r="N70" s="0" t="n">
        <f aca="false">IF('Inputs 2026'!D70&lt;&gt;0,'Inputs 2026'!B70/'Inputs 2026'!D70,0)</f>
        <v>0.00980392156862745</v>
      </c>
      <c r="O70" s="0" t="n">
        <f aca="false">-'Inputs 2026'!B70%*50%</f>
        <v>0.02</v>
      </c>
      <c r="P70" s="0" t="n">
        <f aca="false">C70*2+D70</f>
        <v>-408.96568627451</v>
      </c>
      <c r="Q70" s="0" t="e">
        <f aca="false">SUM($C$2:C70)</f>
        <v>#DIV/0!</v>
      </c>
      <c r="R70" s="0" t="n">
        <f aca="false">$D$2+P70</f>
        <v>-407.29068627451</v>
      </c>
      <c r="S70" s="0" t="n">
        <f aca="false">COUNT(B70:Q70)</f>
        <v>15</v>
      </c>
      <c r="T70" s="0" t="n">
        <f aca="false">IF('Inputs 2026'!E70&gt;5,1,0)</f>
        <v>0</v>
      </c>
      <c r="U70" s="0" t="n">
        <f aca="false">IF('Inputs 2026'!E70='Inputs 2026'!D70,1,0)</f>
        <v>0</v>
      </c>
      <c r="V70" s="0" t="n">
        <f aca="false">IF('Inputs 2026'!E70,1,2)</f>
        <v>2</v>
      </c>
      <c r="W70" s="0" t="n">
        <f aca="false">IF('Inputs 2026'!B70&gt;0,IF('Inputs 2026'!C70&gt;0,1,2),3)</f>
        <v>3</v>
      </c>
      <c r="X70" s="0" t="n">
        <f aca="false">SUM('Inputs 2026'!E70,'Inputs 2026'!B70,5)</f>
        <v>1</v>
      </c>
      <c r="Y70" s="0" t="n">
        <f aca="false">MAX('Inputs 2026'!B70:C70,10)-MIN('Inputs 2026'!D70,'Inputs 2026'!E70)</f>
        <v>418</v>
      </c>
    </row>
    <row r="71" customFormat="false" ht="12.8" hidden="false" customHeight="false" outlineLevel="0" collapsed="false">
      <c r="A71" s="0" t="s">
        <v>76</v>
      </c>
      <c r="B71" s="0" t="n">
        <f aca="false">'Inputs 2026'!B71+'Inputs 2026'!C71*'Inputs 2026'!D71</f>
        <v>700.5</v>
      </c>
      <c r="C71" s="0" t="n">
        <f aca="false">('Inputs 2026'!B71-'Inputs 2026'!C71)/'Inputs 2026'!D71</f>
        <v>-14.2142857142857</v>
      </c>
      <c r="D71" s="0" t="n">
        <f aca="false">SUM('Inputs 2026'!B71:D71)</f>
        <v>107.5</v>
      </c>
      <c r="E71" s="0" t="n">
        <f aca="false">AVERAGE('Inputs 2026'!B71:E71)</f>
        <v>35.8333333333333</v>
      </c>
      <c r="F71" s="0" t="n">
        <f aca="false">MIN('Inputs 2026'!B71:E71)</f>
        <v>0.5</v>
      </c>
      <c r="G71" s="0" t="n">
        <f aca="false">MAX('Inputs 2026'!B71:E71)</f>
        <v>100</v>
      </c>
      <c r="H71" s="0" t="n">
        <f aca="false">COUNT('Inputs 2026'!B71:E71)</f>
        <v>3</v>
      </c>
      <c r="I71" s="0" t="n">
        <f aca="false">ROUND('Inputs 2026'!B71/7,2)</f>
        <v>0.07</v>
      </c>
      <c r="J71" s="0" t="n">
        <f aca="false">ROUND('Inputs 2026'!C71*1.005,2)</f>
        <v>100.5</v>
      </c>
      <c r="K71" s="0" t="n">
        <f aca="false">ROUND('Inputs 2026'!D71*1234.5678,-2)</f>
        <v>8600</v>
      </c>
      <c r="L71" s="0" t="n">
        <f aca="false">IF('Inputs 2026'!B71&gt;'Inputs 2026'!C71,'Inputs 2026'!B71,'Inputs 2026'!C71*2)</f>
        <v>200</v>
      </c>
      <c r="M71" s="0" t="n">
        <f aca="false">IF('Inputs 2026'!B71='Inputs 2026'!C71,1,0)</f>
        <v>0</v>
      </c>
      <c r="N71" s="0" t="n">
        <f aca="false">IF('Inputs 2026'!D71&lt;&gt;0,'Inputs 2026'!B71/'Inputs 2026'!D71,0)</f>
        <v>0.0714285714285714</v>
      </c>
      <c r="O71" s="0" t="n">
        <f aca="false">-'Inputs 2026'!B71%*50%</f>
        <v>-0.0025</v>
      </c>
      <c r="P71" s="0" t="n">
        <f aca="false">C71*2+D71</f>
        <v>79.0714285714286</v>
      </c>
      <c r="Q71" s="0" t="e">
        <f aca="false">SUM($C$2:C71)</f>
        <v>#DIV/0!</v>
      </c>
      <c r="R71" s="0" t="n">
        <f aca="false">$D$2+P71</f>
        <v>80.7464285714286</v>
      </c>
      <c r="S71" s="0" t="n">
        <f aca="false">COUNT(B71:Q71)</f>
        <v>15</v>
      </c>
      <c r="T71" s="0" t="n">
        <f aca="false">IF('Inputs 2026'!E71&gt;5,1,0)</f>
        <v>0</v>
      </c>
      <c r="U71" s="0" t="n">
        <f aca="false">IF('Inputs 2026'!E71='Inputs 2026'!D71,1,0)</f>
        <v>0</v>
      </c>
      <c r="V71" s="0" t="n">
        <f aca="false">IF('Inputs 2026'!E71,1,2)</f>
        <v>2</v>
      </c>
      <c r="W71" s="0" t="n">
        <f aca="false">IF('Inputs 2026'!B71&gt;0,IF('Inputs 2026'!C71&gt;0,1,2),3)</f>
        <v>1</v>
      </c>
      <c r="X71" s="0" t="n">
        <f aca="false">SUM('Inputs 2026'!E71,'Inputs 2026'!B71,5)</f>
        <v>5.5</v>
      </c>
      <c r="Y71" s="0" t="n">
        <f aca="false">MAX('Inputs 2026'!B71:C71,10)-MIN('Inputs 2026'!D71,'Inputs 2026'!E71)</f>
        <v>93</v>
      </c>
    </row>
    <row r="72" customFormat="false" ht="12.8" hidden="false" customHeight="false" outlineLevel="0" collapsed="false">
      <c r="A72" s="0" t="s">
        <v>77</v>
      </c>
      <c r="B72" s="0" t="n">
        <f aca="false">'Inputs 2026'!B72+'Inputs 2026'!C72*'Inputs 2026'!D72</f>
        <v>107.5</v>
      </c>
      <c r="C72" s="0" t="n">
        <f aca="false">('Inputs 2026'!B72-'Inputs 2026'!C72)/'Inputs 2026'!D72</f>
        <v>0.05995</v>
      </c>
      <c r="D72" s="0" t="n">
        <f aca="false">SUM('Inputs 2026'!B72:D72)</f>
        <v>108.005</v>
      </c>
      <c r="E72" s="0" t="n">
        <f aca="false">AVERAGE('Inputs 2026'!B72:E72)</f>
        <v>36.0016666666667</v>
      </c>
      <c r="F72" s="0" t="n">
        <f aca="false">MIN('Inputs 2026'!B72:E72)</f>
        <v>1.005</v>
      </c>
      <c r="G72" s="0" t="n">
        <f aca="false">MAX('Inputs 2026'!B72:E72)</f>
        <v>100</v>
      </c>
      <c r="H72" s="0" t="n">
        <f aca="false">COUNT('Inputs 2026'!B72:E72)</f>
        <v>3</v>
      </c>
      <c r="I72" s="0" t="n">
        <f aca="false">ROUND('Inputs 2026'!B72/7,2)</f>
        <v>1</v>
      </c>
      <c r="J72" s="0" t="n">
        <f aca="false">ROUND('Inputs 2026'!C72*1.005,2)</f>
        <v>1.01</v>
      </c>
      <c r="K72" s="0" t="n">
        <f aca="false">ROUND('Inputs 2026'!D72*1234.5678,-2)</f>
        <v>123500</v>
      </c>
      <c r="L72" s="0" t="n">
        <f aca="false">IF('Inputs 2026'!B72&gt;'Inputs 2026'!C72,'Inputs 2026'!B72,'Inputs 2026'!C72*2)</f>
        <v>7</v>
      </c>
      <c r="M72" s="0" t="n">
        <f aca="false">IF('Inputs 2026'!B72='Inputs 2026'!C72,1,0)</f>
        <v>0</v>
      </c>
      <c r="N72" s="0" t="n">
        <f aca="false">IF('Inputs 2026'!D72&lt;&gt;0,'Inputs 2026'!B72/'Inputs 2026'!D72,0)</f>
        <v>0.07</v>
      </c>
      <c r="O72" s="0" t="n">
        <f aca="false">-'Inputs 2026'!B72%*50%</f>
        <v>-0.035</v>
      </c>
      <c r="P72" s="0" t="n">
        <f aca="false">C72*2+D72</f>
        <v>108.1249</v>
      </c>
      <c r="Q72" s="0" t="e">
        <f aca="false">SUM($C$2:C72)</f>
        <v>#DIV/0!</v>
      </c>
      <c r="R72" s="0" t="n">
        <f aca="false">$D$2+P72</f>
        <v>109.7999</v>
      </c>
      <c r="S72" s="0" t="n">
        <f aca="false">COUNT(B72:Q72)</f>
        <v>15</v>
      </c>
      <c r="T72" s="0" t="n">
        <f aca="false">IF('Inputs 2026'!E72&gt;5,1,0)</f>
        <v>0</v>
      </c>
      <c r="U72" s="0" t="n">
        <f aca="false">IF('Inputs 2026'!E72='Inputs 2026'!D72,1,0)</f>
        <v>0</v>
      </c>
      <c r="V72" s="0" t="n">
        <f aca="false">IF('Inputs 2026'!E72,1,2)</f>
        <v>2</v>
      </c>
      <c r="W72" s="0" t="n">
        <f aca="false">IF('Inputs 2026'!B72&gt;0,IF('Inputs 2026'!C72&gt;0,1,2),3)</f>
        <v>1</v>
      </c>
      <c r="X72" s="0" t="n">
        <f aca="false">SUM('Inputs 2026'!E72,'Inputs 2026'!B72,5)</f>
        <v>12</v>
      </c>
      <c r="Y72" s="0" t="n">
        <f aca="false">MAX('Inputs 2026'!B72:C72,10)-MIN('Inputs 2026'!D72,'Inputs 2026'!E72)</f>
        <v>-90</v>
      </c>
    </row>
    <row r="73" customFormat="false" ht="12.8" hidden="false" customHeight="false" outlineLevel="0" collapsed="false">
      <c r="A73" s="0" t="s">
        <v>78</v>
      </c>
      <c r="B73" s="0" t="n">
        <f aca="false">'Inputs 2026'!B73+'Inputs 2026'!C73*'Inputs 2026'!D73</f>
        <v>4</v>
      </c>
      <c r="C73" s="0" t="n">
        <f aca="false">('Inputs 2026'!B73-'Inputs 2026'!C73)/'Inputs 2026'!D73</f>
        <v>1.25</v>
      </c>
      <c r="D73" s="0" t="n">
        <f aca="false">SUM('Inputs 2026'!B73:D73)</f>
        <v>5.5</v>
      </c>
      <c r="E73" s="0" t="n">
        <f aca="false">AVERAGE('Inputs 2026'!B73:E73)</f>
        <v>1.83333333333333</v>
      </c>
      <c r="F73" s="0" t="n">
        <f aca="false">MIN('Inputs 2026'!B73:E73)</f>
        <v>0.5</v>
      </c>
      <c r="G73" s="0" t="n">
        <f aca="false">MAX('Inputs 2026'!B73:E73)</f>
        <v>3</v>
      </c>
      <c r="H73" s="0" t="n">
        <f aca="false">COUNT('Inputs 2026'!B73:E73)</f>
        <v>3</v>
      </c>
      <c r="I73" s="0" t="n">
        <f aca="false">ROUND('Inputs 2026'!B73/7,2)</f>
        <v>0.43</v>
      </c>
      <c r="J73" s="0" t="n">
        <f aca="false">ROUND('Inputs 2026'!C73*1.005,2)</f>
        <v>0.5</v>
      </c>
      <c r="K73" s="0" t="n">
        <f aca="false">ROUND('Inputs 2026'!D73*1234.5678,-2)</f>
        <v>2500</v>
      </c>
      <c r="L73" s="0" t="n">
        <f aca="false">IF('Inputs 2026'!B73&gt;'Inputs 2026'!C73,'Inputs 2026'!B73,'Inputs 2026'!C73*2)</f>
        <v>3</v>
      </c>
      <c r="M73" s="0" t="n">
        <f aca="false">IF('Inputs 2026'!B73='Inputs 2026'!C73,1,0)</f>
        <v>0</v>
      </c>
      <c r="N73" s="0" t="n">
        <f aca="false">IF('Inputs 2026'!D73&lt;&gt;0,'Inputs 2026'!B73/'Inputs 2026'!D73,0)</f>
        <v>1.5</v>
      </c>
      <c r="O73" s="0" t="n">
        <f aca="false">-'Inputs 2026'!B73%*50%</f>
        <v>-0.015</v>
      </c>
      <c r="P73" s="0" t="n">
        <f aca="false">C73*2+D73</f>
        <v>8</v>
      </c>
      <c r="Q73" s="0" t="e">
        <f aca="false">SUM($C$2:C73)</f>
        <v>#DIV/0!</v>
      </c>
      <c r="R73" s="0" t="n">
        <f aca="false">$D$2+P73</f>
        <v>9.675</v>
      </c>
      <c r="S73" s="0" t="n">
        <f aca="false">COUNT(B73:Q73)</f>
        <v>15</v>
      </c>
      <c r="T73" s="0" t="n">
        <f aca="false">IF('Inputs 2026'!E73&gt;5,1,0)</f>
        <v>1</v>
      </c>
      <c r="U73" s="0" t="n">
        <f aca="false">IF('Inputs 2026'!E73='Inputs 2026'!D73,1,0)</f>
        <v>0</v>
      </c>
      <c r="V73" s="0" t="e">
        <f aca="false">IF('Inputs 2026'!E73,1,2)</f>
        <v>#VALUE!</v>
      </c>
      <c r="W73" s="0" t="n">
        <f aca="false">IF('Inputs 2026'!B73&gt;0,IF('Inputs 2026'!C73&gt;0,1,2),3)</f>
        <v>1</v>
      </c>
      <c r="X73" s="0" t="n">
        <f aca="false">SUM('Inputs 2026'!E73,'Inputs 2026'!B73,5)</f>
        <v>8</v>
      </c>
      <c r="Y73" s="0" t="n">
        <f aca="false">MAX('Inputs 2026'!B73:C73,10)-MIN('Inputs 2026'!D73,'Inputs 2026'!E73)</f>
        <v>8</v>
      </c>
    </row>
    <row r="74" customFormat="false" ht="12.8" hidden="false" customHeight="false" outlineLevel="0" collapsed="false">
      <c r="A74" s="0" t="s">
        <v>79</v>
      </c>
      <c r="B74" s="0" t="n">
        <f aca="false">'Inputs 2026'!B74+'Inputs 2026'!C74*'Inputs 2026'!D74</f>
        <v>2.675</v>
      </c>
      <c r="C74" s="0" t="n">
        <f aca="false">('Inputs 2026'!B74-'Inputs 2026'!C74)/'Inputs 2026'!D74</f>
        <v>26.75</v>
      </c>
      <c r="D74" s="0" t="n">
        <f aca="false">SUM('Inputs 2026'!B74:D74)</f>
        <v>2.775</v>
      </c>
      <c r="E74" s="0" t="n">
        <f aca="false">AVERAGE('Inputs 2026'!B74:E74)</f>
        <v>1.3875</v>
      </c>
      <c r="F74" s="0" t="n">
        <f aca="false">MIN('Inputs 2026'!B74:E74)</f>
        <v>0.1</v>
      </c>
      <c r="G74" s="0" t="n">
        <f aca="false">MAX('Inputs 2026'!B74:E74)</f>
        <v>2.675</v>
      </c>
      <c r="H74" s="0" t="n">
        <f aca="false">COUNT('Inputs 2026'!B74:E74)</f>
        <v>2</v>
      </c>
      <c r="I74" s="0" t="n">
        <f aca="false">ROUND('Inputs 2026'!B74/7,2)</f>
        <v>0.38</v>
      </c>
      <c r="J74" s="0" t="n">
        <f aca="false">ROUND('Inputs 2026'!C74*1.005,2)</f>
        <v>0</v>
      </c>
      <c r="K74" s="0" t="n">
        <f aca="false">ROUND('Inputs 2026'!D74*1234.5678,-2)</f>
        <v>100</v>
      </c>
      <c r="L74" s="0" t="n">
        <f aca="false">IF('Inputs 2026'!B74&gt;'Inputs 2026'!C74,'Inputs 2026'!B74,'Inputs 2026'!C74*2)</f>
        <v>2.675</v>
      </c>
      <c r="M74" s="0" t="n">
        <f aca="false">IF('Inputs 2026'!B74='Inputs 2026'!C74,1,0)</f>
        <v>0</v>
      </c>
      <c r="N74" s="0" t="n">
        <f aca="false">IF('Inputs 2026'!D74&lt;&gt;0,'Inputs 2026'!B74/'Inputs 2026'!D74,0)</f>
        <v>26.75</v>
      </c>
      <c r="O74" s="0" t="n">
        <f aca="false">-'Inputs 2026'!B74%*50%</f>
        <v>-0.013375</v>
      </c>
      <c r="P74" s="0" t="n">
        <f aca="false">C74*2+D74</f>
        <v>56.275</v>
      </c>
      <c r="Q74" s="0" t="e">
        <f aca="false">SUM($C$2:C74)</f>
        <v>#DIV/0!</v>
      </c>
      <c r="R74" s="0" t="n">
        <f aca="false">$D$2+P74</f>
        <v>57.95</v>
      </c>
      <c r="S74" s="0" t="n">
        <f aca="false">COUNT(B74:Q74)</f>
        <v>15</v>
      </c>
      <c r="T74" s="0" t="n">
        <f aca="false">IF('Inputs 2026'!E74&gt;5,1,0)</f>
        <v>1</v>
      </c>
      <c r="U74" s="0" t="n">
        <f aca="false">IF('Inputs 2026'!E74='Inputs 2026'!D74,1,0)</f>
        <v>0</v>
      </c>
      <c r="V74" s="0" t="e">
        <f aca="false">IF('Inputs 2026'!E74,1,2)</f>
        <v>#VALUE!</v>
      </c>
      <c r="W74" s="0" t="n">
        <f aca="false">IF('Inputs 2026'!B74&gt;0,IF('Inputs 2026'!C74&gt;0,1,2),3)</f>
        <v>2</v>
      </c>
      <c r="X74" s="0" t="n">
        <f aca="false">SUM('Inputs 2026'!E74,'Inputs 2026'!B74,5)</f>
        <v>7.675</v>
      </c>
      <c r="Y74" s="0" t="n">
        <f aca="false">MAX('Inputs 2026'!B74:C74,10)-MIN('Inputs 2026'!D74,'Inputs 2026'!E74)</f>
        <v>9.9</v>
      </c>
    </row>
    <row r="75" customFormat="false" ht="12.8" hidden="false" customHeight="false" outlineLevel="0" collapsed="false">
      <c r="A75" s="0" t="s">
        <v>80</v>
      </c>
      <c r="B75" s="0" t="n">
        <f aca="false">'Inputs 2026'!B75+'Inputs 2026'!C75*'Inputs 2026'!D75</f>
        <v>-3.25</v>
      </c>
      <c r="C75" s="0" t="n">
        <f aca="false">('Inputs 2026'!B75-'Inputs 2026'!C75)/'Inputs 2026'!D75</f>
        <v>-1.41666666666667</v>
      </c>
      <c r="D75" s="0" t="n">
        <f aca="false">SUM('Inputs 2026'!B75:D75)</f>
        <v>-0.75</v>
      </c>
      <c r="E75" s="0" t="n">
        <f aca="false">AVERAGE('Inputs 2026'!B75:E75)</f>
        <v>-0.25</v>
      </c>
      <c r="F75" s="0" t="n">
        <f aca="false">MIN('Inputs 2026'!B75:E75)</f>
        <v>-4</v>
      </c>
      <c r="G75" s="0" t="n">
        <f aca="false">MAX('Inputs 2026'!B75:E75)</f>
        <v>3</v>
      </c>
      <c r="H75" s="0" t="n">
        <f aca="false">COUNT('Inputs 2026'!B75:E75)</f>
        <v>3</v>
      </c>
      <c r="I75" s="0" t="n">
        <f aca="false">ROUND('Inputs 2026'!B75/7,2)</f>
        <v>-0.57</v>
      </c>
      <c r="J75" s="0" t="n">
        <f aca="false">ROUND('Inputs 2026'!C75*1.005,2)</f>
        <v>0.25</v>
      </c>
      <c r="K75" s="0" t="n">
        <f aca="false">ROUND('Inputs 2026'!D75*1234.5678,-2)</f>
        <v>3700</v>
      </c>
      <c r="L75" s="0" t="n">
        <f aca="false">IF('Inputs 2026'!B75&gt;'Inputs 2026'!C75,'Inputs 2026'!B75,'Inputs 2026'!C75*2)</f>
        <v>0.5</v>
      </c>
      <c r="M75" s="0" t="n">
        <f aca="false">IF('Inputs 2026'!B75='Inputs 2026'!C75,1,0)</f>
        <v>0</v>
      </c>
      <c r="N75" s="0" t="n">
        <f aca="false">IF('Inputs 2026'!D75&lt;&gt;0,'Inputs 2026'!B75/'Inputs 2026'!D75,0)</f>
        <v>-1.33333333333333</v>
      </c>
      <c r="O75" s="0" t="n">
        <f aca="false">-'Inputs 2026'!B75%*50%</f>
        <v>0.02</v>
      </c>
      <c r="P75" s="0" t="n">
        <f aca="false">C75*2+D75</f>
        <v>-3.58333333333333</v>
      </c>
      <c r="Q75" s="0" t="e">
        <f aca="false">SUM($C$2:C75)</f>
        <v>#DIV/0!</v>
      </c>
      <c r="R75" s="0" t="n">
        <f aca="false">$D$2+P75</f>
        <v>-1.90833333333333</v>
      </c>
      <c r="S75" s="0" t="n">
        <f aca="false">COUNT(B75:Q75)</f>
        <v>15</v>
      </c>
      <c r="T75" s="0" t="n">
        <f aca="false">IF('Inputs 2026'!E75&gt;5,1,0)</f>
        <v>0</v>
      </c>
      <c r="U75" s="0" t="n">
        <f aca="false">IF('Inputs 2026'!E75='Inputs 2026'!D75,1,0)</f>
        <v>0</v>
      </c>
      <c r="V75" s="0" t="n">
        <f aca="false">IF('Inputs 2026'!E75,1,2)</f>
        <v>2</v>
      </c>
      <c r="W75" s="0" t="n">
        <f aca="false">IF('Inputs 2026'!B75&gt;0,IF('Inputs 2026'!C75&gt;0,1,2),3)</f>
        <v>3</v>
      </c>
      <c r="X75" s="0" t="n">
        <f aca="false">SUM('Inputs 2026'!E75,'Inputs 2026'!B75,5)</f>
        <v>1</v>
      </c>
      <c r="Y75" s="0" t="n">
        <f aca="false">MAX('Inputs 2026'!B75:C75,10)-MIN('Inputs 2026'!D75,'Inputs 2026'!E75)</f>
        <v>7</v>
      </c>
    </row>
    <row r="76" customFormat="false" ht="12.8" hidden="false" customHeight="false" outlineLevel="0" collapsed="false">
      <c r="A76" s="0" t="s">
        <v>81</v>
      </c>
      <c r="B76" s="0" t="n">
        <f aca="false">'Inputs 2026'!B76+'Inputs 2026'!C76*'Inputs 2026'!D76</f>
        <v>0.45125</v>
      </c>
      <c r="C76" s="0" t="n">
        <f aca="false">('Inputs 2026'!B76-'Inputs 2026'!C76)/'Inputs 2026'!D76</f>
        <v>-3.22</v>
      </c>
      <c r="D76" s="0" t="n">
        <f aca="false">SUM('Inputs 2026'!B76:D76)</f>
        <v>1.455</v>
      </c>
      <c r="E76" s="0" t="n">
        <f aca="false">AVERAGE('Inputs 2026'!B76:E76)</f>
        <v>0.485</v>
      </c>
      <c r="F76" s="0" t="n">
        <f aca="false">MIN('Inputs 2026'!B76:E76)</f>
        <v>0.2</v>
      </c>
      <c r="G76" s="0" t="n">
        <f aca="false">MAX('Inputs 2026'!B76:E76)</f>
        <v>1.005</v>
      </c>
      <c r="H76" s="0" t="n">
        <f aca="false">COUNT('Inputs 2026'!B76:E76)</f>
        <v>3</v>
      </c>
      <c r="I76" s="0" t="n">
        <f aca="false">ROUND('Inputs 2026'!B76/7,2)</f>
        <v>0.03</v>
      </c>
      <c r="J76" s="0" t="n">
        <f aca="false">ROUND('Inputs 2026'!C76*1.005,2)</f>
        <v>1.01</v>
      </c>
      <c r="K76" s="0" t="n">
        <f aca="false">ROUND('Inputs 2026'!D76*1234.5678,-2)</f>
        <v>300</v>
      </c>
      <c r="L76" s="0" t="n">
        <f aca="false">IF('Inputs 2026'!B76&gt;'Inputs 2026'!C76,'Inputs 2026'!B76,'Inputs 2026'!C76*2)</f>
        <v>2.01</v>
      </c>
      <c r="M76" s="0" t="n">
        <f aca="false">IF('Inputs 2026'!B76='Inputs 2026'!C76,1,0)</f>
        <v>0</v>
      </c>
      <c r="N76" s="0" t="n">
        <f aca="false">IF('Inputs 2026'!D76&lt;&gt;0,'Inputs 2026'!B76/'Inputs 2026'!D76,0)</f>
        <v>0.8</v>
      </c>
      <c r="O76" s="0" t="n">
        <f aca="false">-'Inputs 2026'!B76%*50%</f>
        <v>-0.001</v>
      </c>
      <c r="P76" s="0" t="n">
        <f aca="false">C76*2+D76</f>
        <v>-4.985</v>
      </c>
      <c r="Q76" s="0" t="e">
        <f aca="false">SUM($C$2:C76)</f>
        <v>#DIV/0!</v>
      </c>
      <c r="R76" s="0" t="n">
        <f aca="false">$D$2+P76</f>
        <v>-3.31</v>
      </c>
      <c r="S76" s="0" t="n">
        <f aca="false">COUNT(B76:Q76)</f>
        <v>15</v>
      </c>
      <c r="T76" s="0" t="n">
        <f aca="false">IF('Inputs 2026'!E76&gt;5,1,0)</f>
        <v>1</v>
      </c>
      <c r="U76" s="0" t="n">
        <f aca="false">IF('Inputs 2026'!E76='Inputs 2026'!D76,1,0)</f>
        <v>0</v>
      </c>
      <c r="V76" s="0" t="e">
        <f aca="false">IF('Inputs 2026'!E76,1,2)</f>
        <v>#VALUE!</v>
      </c>
      <c r="W76" s="0" t="n">
        <f aca="false">IF('Inputs 2026'!B76&gt;0,IF('Inputs 2026'!C76&gt;0,1,2),3)</f>
        <v>1</v>
      </c>
      <c r="X76" s="0" t="n">
        <f aca="false">SUM('Inputs 2026'!E76,'Inputs 2026'!B76,5)</f>
        <v>5.2</v>
      </c>
      <c r="Y76" s="0" t="n">
        <f aca="false">MAX('Inputs 2026'!B76:C76,10)-MIN('Inputs 2026'!D76,'Inputs 2026'!E76)</f>
        <v>9.75</v>
      </c>
    </row>
    <row r="77" customFormat="false" ht="12.8" hidden="false" customHeight="false" outlineLevel="0" collapsed="false">
      <c r="A77" s="0" t="s">
        <v>82</v>
      </c>
      <c r="B77" s="0" t="n">
        <f aca="false">'Inputs 2026'!B77+'Inputs 2026'!C77*'Inputs 2026'!D77</f>
        <v>273.25</v>
      </c>
      <c r="C77" s="0" t="n">
        <f aca="false">('Inputs 2026'!B77-'Inputs 2026'!C77)/'Inputs 2026'!D77</f>
        <v>-0.00457875457875458</v>
      </c>
      <c r="D77" s="0" t="n">
        <f aca="false">SUM('Inputs 2026'!B77:D77)</f>
        <v>-273.75</v>
      </c>
      <c r="E77" s="0" t="n">
        <f aca="false">AVERAGE('Inputs 2026'!B77:E77)</f>
        <v>-91.25</v>
      </c>
      <c r="F77" s="0" t="n">
        <f aca="false">MIN('Inputs 2026'!B77:E77)</f>
        <v>-273</v>
      </c>
      <c r="G77" s="0" t="n">
        <f aca="false">MAX('Inputs 2026'!B77:E77)</f>
        <v>0.25</v>
      </c>
      <c r="H77" s="0" t="n">
        <f aca="false">COUNT('Inputs 2026'!B77:E77)</f>
        <v>3</v>
      </c>
      <c r="I77" s="0" t="n">
        <f aca="false">ROUND('Inputs 2026'!B77/7,2)</f>
        <v>0.04</v>
      </c>
      <c r="J77" s="0" t="n">
        <f aca="false">ROUND('Inputs 2026'!C77*1.005,2)</f>
        <v>-1.01</v>
      </c>
      <c r="K77" s="0" t="n">
        <f aca="false">ROUND('Inputs 2026'!D77*1234.5678,-2)</f>
        <v>-337000</v>
      </c>
      <c r="L77" s="0" t="n">
        <f aca="false">IF('Inputs 2026'!B77&gt;'Inputs 2026'!C77,'Inputs 2026'!B77,'Inputs 2026'!C77*2)</f>
        <v>0.25</v>
      </c>
      <c r="M77" s="0" t="n">
        <f aca="false">IF('Inputs 2026'!B77='Inputs 2026'!C77,1,0)</f>
        <v>0</v>
      </c>
      <c r="N77" s="0" t="n">
        <f aca="false">IF('Inputs 2026'!D77&lt;&gt;0,'Inputs 2026'!B77/'Inputs 2026'!D77,0)</f>
        <v>-0.000915750915750916</v>
      </c>
      <c r="O77" s="0" t="n">
        <f aca="false">-'Inputs 2026'!B77%*50%</f>
        <v>-0.00125</v>
      </c>
      <c r="P77" s="0" t="n">
        <f aca="false">C77*2+D77</f>
        <v>-273.759157509158</v>
      </c>
      <c r="Q77" s="0" t="e">
        <f aca="false">SUM($C$2:C77)</f>
        <v>#DIV/0!</v>
      </c>
      <c r="R77" s="0" t="n">
        <f aca="false">$D$2+P77</f>
        <v>-272.084157509158</v>
      </c>
      <c r="S77" s="0" t="n">
        <f aca="false">COUNT(B77:Q77)</f>
        <v>15</v>
      </c>
      <c r="T77" s="0" t="n">
        <f aca="false">IF('Inputs 2026'!E77&gt;5,1,0)</f>
        <v>0</v>
      </c>
      <c r="U77" s="0" t="n">
        <f aca="false">IF('Inputs 2026'!E77='Inputs 2026'!D77,1,0)</f>
        <v>0</v>
      </c>
      <c r="V77" s="0" t="n">
        <f aca="false">IF('Inputs 2026'!E77,1,2)</f>
        <v>2</v>
      </c>
      <c r="W77" s="0" t="n">
        <f aca="false">IF('Inputs 2026'!B77&gt;0,IF('Inputs 2026'!C77&gt;0,1,2),3)</f>
        <v>2</v>
      </c>
      <c r="X77" s="0" t="n">
        <f aca="false">SUM('Inputs 2026'!E77,'Inputs 2026'!B77,5)</f>
        <v>5.25</v>
      </c>
      <c r="Y77" s="0" t="n">
        <f aca="false">MAX('Inputs 2026'!B77:C77,10)-MIN('Inputs 2026'!D77,'Inputs 2026'!E77)</f>
        <v>283</v>
      </c>
    </row>
    <row r="78" customFormat="false" ht="12.8" hidden="false" customHeight="false" outlineLevel="0" collapsed="false">
      <c r="A78" s="0" t="s">
        <v>83</v>
      </c>
      <c r="B78" s="0" t="n">
        <f aca="false">'Inputs 2026'!B78+'Inputs 2026'!C78*'Inputs 2026'!D78</f>
        <v>-39.5</v>
      </c>
      <c r="C78" s="0" t="n">
        <f aca="false">('Inputs 2026'!B78-'Inputs 2026'!C78)/'Inputs 2026'!D78</f>
        <v>0.45</v>
      </c>
      <c r="D78" s="0" t="n">
        <f aca="false">SUM('Inputs 2026'!B78:D78)</f>
        <v>6.5</v>
      </c>
      <c r="E78" s="0" t="n">
        <f aca="false">AVERAGE('Inputs 2026'!B78:E78)</f>
        <v>2.16666666666667</v>
      </c>
      <c r="F78" s="0" t="n">
        <f aca="false">MIN('Inputs 2026'!B78:E78)</f>
        <v>-4</v>
      </c>
      <c r="G78" s="0" t="n">
        <f aca="false">MAX('Inputs 2026'!B78:E78)</f>
        <v>10</v>
      </c>
      <c r="H78" s="0" t="n">
        <f aca="false">COUNT('Inputs 2026'!B78:E78)</f>
        <v>3</v>
      </c>
      <c r="I78" s="0" t="n">
        <f aca="false">ROUND('Inputs 2026'!B78/7,2)</f>
        <v>0.07</v>
      </c>
      <c r="J78" s="0" t="n">
        <f aca="false">ROUND('Inputs 2026'!C78*1.005,2)</f>
        <v>-4.02</v>
      </c>
      <c r="K78" s="0" t="n">
        <f aca="false">ROUND('Inputs 2026'!D78*1234.5678,-2)</f>
        <v>12300</v>
      </c>
      <c r="L78" s="0" t="n">
        <f aca="false">IF('Inputs 2026'!B78&gt;'Inputs 2026'!C78,'Inputs 2026'!B78,'Inputs 2026'!C78*2)</f>
        <v>0.5</v>
      </c>
      <c r="M78" s="0" t="n">
        <f aca="false">IF('Inputs 2026'!B78='Inputs 2026'!C78,1,0)</f>
        <v>0</v>
      </c>
      <c r="N78" s="0" t="n">
        <f aca="false">IF('Inputs 2026'!D78&lt;&gt;0,'Inputs 2026'!B78/'Inputs 2026'!D78,0)</f>
        <v>0.05</v>
      </c>
      <c r="O78" s="0" t="n">
        <f aca="false">-'Inputs 2026'!B78%*50%</f>
        <v>-0.0025</v>
      </c>
      <c r="P78" s="0" t="n">
        <f aca="false">C78*2+D78</f>
        <v>7.4</v>
      </c>
      <c r="Q78" s="0" t="e">
        <f aca="false">SUM($C$2:C78)</f>
        <v>#DIV/0!</v>
      </c>
      <c r="R78" s="0" t="n">
        <f aca="false">$D$2+P78</f>
        <v>9.075</v>
      </c>
      <c r="S78" s="0" t="n">
        <f aca="false">COUNT(B78:Q78)</f>
        <v>15</v>
      </c>
      <c r="T78" s="0" t="n">
        <f aca="false">IF('Inputs 2026'!E78&gt;5,1,0)</f>
        <v>0</v>
      </c>
      <c r="U78" s="0" t="n">
        <f aca="false">IF('Inputs 2026'!E78='Inputs 2026'!D78,1,0)</f>
        <v>0</v>
      </c>
      <c r="V78" s="0" t="n">
        <f aca="false">IF('Inputs 2026'!E78,1,2)</f>
        <v>2</v>
      </c>
      <c r="W78" s="0" t="n">
        <f aca="false">IF('Inputs 2026'!B78&gt;0,IF('Inputs 2026'!C78&gt;0,1,2),3)</f>
        <v>2</v>
      </c>
      <c r="X78" s="0" t="n">
        <f aca="false">SUM('Inputs 2026'!E78,'Inputs 2026'!B78,5)</f>
        <v>5.5</v>
      </c>
      <c r="Y78" s="0" t="n">
        <f aca="false">MAX('Inputs 2026'!B78:C78,10)-MIN('Inputs 2026'!D78,'Inputs 2026'!E78)</f>
        <v>0</v>
      </c>
    </row>
    <row r="79" customFormat="false" ht="12.8" hidden="false" customHeight="false" outlineLevel="0" collapsed="false">
      <c r="A79" s="0" t="s">
        <v>84</v>
      </c>
      <c r="B79" s="0" t="n">
        <f aca="false">'Inputs 2026'!B79+'Inputs 2026'!C79*'Inputs 2026'!D79</f>
        <v>202</v>
      </c>
      <c r="C79" s="0" t="n">
        <f aca="false">('Inputs 2026'!B79-'Inputs 2026'!C79)/'Inputs 2026'!D79</f>
        <v>0</v>
      </c>
      <c r="D79" s="0" t="n">
        <f aca="false">SUM('Inputs 2026'!B79:D79)</f>
        <v>104</v>
      </c>
      <c r="E79" s="0" t="n">
        <f aca="false">AVERAGE('Inputs 2026'!B79:E79)</f>
        <v>26.75</v>
      </c>
      <c r="F79" s="0" t="n">
        <f aca="false">MIN('Inputs 2026'!B79:E79)</f>
        <v>2</v>
      </c>
      <c r="G79" s="0" t="n">
        <f aca="false">MAX('Inputs 2026'!B79:E79)</f>
        <v>100</v>
      </c>
      <c r="H79" s="0" t="n">
        <f aca="false">COUNT('Inputs 2026'!B79:E79)</f>
        <v>4</v>
      </c>
      <c r="I79" s="0" t="n">
        <f aca="false">ROUND('Inputs 2026'!B79/7,2)</f>
        <v>0.29</v>
      </c>
      <c r="J79" s="0" t="n">
        <f aca="false">ROUND('Inputs 2026'!C79*1.005,2)</f>
        <v>2.01</v>
      </c>
      <c r="K79" s="0" t="n">
        <f aca="false">ROUND('Inputs 2026'!D79*1234.5678,-2)</f>
        <v>123500</v>
      </c>
      <c r="L79" s="0" t="n">
        <f aca="false">IF('Inputs 2026'!B79&gt;'Inputs 2026'!C79,'Inputs 2026'!B79,'Inputs 2026'!C79*2)</f>
        <v>4</v>
      </c>
      <c r="M79" s="0" t="n">
        <f aca="false">IF('Inputs 2026'!B79='Inputs 2026'!C79,1,0)</f>
        <v>1</v>
      </c>
      <c r="N79" s="0" t="n">
        <f aca="false">IF('Inputs 2026'!D79&lt;&gt;0,'Inputs 2026'!B79/'Inputs 2026'!D79,0)</f>
        <v>0.02</v>
      </c>
      <c r="O79" s="0" t="n">
        <f aca="false">-'Inputs 2026'!B79%*50%</f>
        <v>-0.01</v>
      </c>
      <c r="P79" s="0" t="n">
        <f aca="false">C79*2+D79</f>
        <v>104</v>
      </c>
      <c r="Q79" s="0" t="e">
        <f aca="false">SUM($C$2:C79)</f>
        <v>#DIV/0!</v>
      </c>
      <c r="R79" s="0" t="n">
        <f aca="false">$D$2+P79</f>
        <v>105.675</v>
      </c>
      <c r="S79" s="0" t="n">
        <f aca="false">COUNT(B79:Q79)</f>
        <v>15</v>
      </c>
      <c r="T79" s="0" t="n">
        <f aca="false">IF('Inputs 2026'!E79&gt;5,1,0)</f>
        <v>0</v>
      </c>
      <c r="U79" s="0" t="n">
        <f aca="false">IF('Inputs 2026'!E79='Inputs 2026'!D79,1,0)</f>
        <v>0</v>
      </c>
      <c r="V79" s="0" t="n">
        <f aca="false">IF('Inputs 2026'!E79,1,2)</f>
        <v>1</v>
      </c>
      <c r="W79" s="0" t="n">
        <f aca="false">IF('Inputs 2026'!B79&gt;0,IF('Inputs 2026'!C79&gt;0,1,2),3)</f>
        <v>1</v>
      </c>
      <c r="X79" s="0" t="n">
        <f aca="false">SUM('Inputs 2026'!E79,'Inputs 2026'!B79,5)</f>
        <v>10</v>
      </c>
      <c r="Y79" s="0" t="n">
        <f aca="false">MAX('Inputs 2026'!B79:C79,10)-MIN('Inputs 2026'!D79,'Inputs 2026'!E79)</f>
        <v>7</v>
      </c>
    </row>
    <row r="80" customFormat="false" ht="12.8" hidden="false" customHeight="false" outlineLevel="0" collapsed="false">
      <c r="A80" s="0" t="s">
        <v>85</v>
      </c>
      <c r="B80" s="0" t="n">
        <f aca="false">'Inputs 2026'!B80+'Inputs 2026'!C80*'Inputs 2026'!D80</f>
        <v>0.12</v>
      </c>
      <c r="C80" s="0" t="n">
        <f aca="false">('Inputs 2026'!B80-'Inputs 2026'!C80)/'Inputs 2026'!D80</f>
        <v>0</v>
      </c>
      <c r="D80" s="0" t="n">
        <f aca="false">SUM('Inputs 2026'!B80:D80)</f>
        <v>0.4</v>
      </c>
      <c r="E80" s="0" t="n">
        <f aca="false">AVERAGE('Inputs 2026'!B80:E80)</f>
        <v>0.133333333333333</v>
      </c>
      <c r="F80" s="0" t="n">
        <f aca="false">MIN('Inputs 2026'!B80:E80)</f>
        <v>0.1</v>
      </c>
      <c r="G80" s="0" t="n">
        <f aca="false">MAX('Inputs 2026'!B80:E80)</f>
        <v>0.2</v>
      </c>
      <c r="H80" s="0" t="n">
        <f aca="false">COUNT('Inputs 2026'!B80:E80)</f>
        <v>3</v>
      </c>
      <c r="I80" s="0" t="n">
        <f aca="false">ROUND('Inputs 2026'!B80/7,2)</f>
        <v>0.01</v>
      </c>
      <c r="J80" s="0" t="n">
        <f aca="false">ROUND('Inputs 2026'!C80*1.005,2)</f>
        <v>0.1</v>
      </c>
      <c r="K80" s="0" t="n">
        <f aca="false">ROUND('Inputs 2026'!D80*1234.5678,-2)</f>
        <v>200</v>
      </c>
      <c r="L80" s="0" t="n">
        <f aca="false">IF('Inputs 2026'!B80&gt;'Inputs 2026'!C80,'Inputs 2026'!B80,'Inputs 2026'!C80*2)</f>
        <v>0.2</v>
      </c>
      <c r="M80" s="0" t="n">
        <f aca="false">IF('Inputs 2026'!B80='Inputs 2026'!C80,1,0)</f>
        <v>1</v>
      </c>
      <c r="N80" s="0" t="n">
        <f aca="false">IF('Inputs 2026'!D80&lt;&gt;0,'Inputs 2026'!B80/'Inputs 2026'!D80,0)</f>
        <v>0.5</v>
      </c>
      <c r="O80" s="0" t="n">
        <f aca="false">-'Inputs 2026'!B80%*50%</f>
        <v>-0.0005</v>
      </c>
      <c r="P80" s="0" t="n">
        <f aca="false">C80*2+D80</f>
        <v>0.4</v>
      </c>
      <c r="Q80" s="0" t="e">
        <f aca="false">SUM($C$2:C80)</f>
        <v>#DIV/0!</v>
      </c>
      <c r="R80" s="0" t="n">
        <f aca="false">$D$2+P80</f>
        <v>2.075</v>
      </c>
      <c r="S80" s="0" t="n">
        <f aca="false">COUNT(B80:Q80)</f>
        <v>15</v>
      </c>
      <c r="T80" s="0" t="n">
        <f aca="false">IF('Inputs 2026'!E80&gt;5,1,0)</f>
        <v>0</v>
      </c>
      <c r="U80" s="0" t="n">
        <f aca="false">IF('Inputs 2026'!E80='Inputs 2026'!D80,1,0)</f>
        <v>0</v>
      </c>
      <c r="V80" s="0" t="n">
        <f aca="false">IF('Inputs 2026'!E80,1,2)</f>
        <v>2</v>
      </c>
      <c r="W80" s="0" t="n">
        <f aca="false">IF('Inputs 2026'!B80&gt;0,IF('Inputs 2026'!C80&gt;0,1,2),3)</f>
        <v>1</v>
      </c>
      <c r="X80" s="0" t="n">
        <f aca="false">SUM('Inputs 2026'!E80,'Inputs 2026'!B80,5)</f>
        <v>5.1</v>
      </c>
      <c r="Y80" s="0" t="n">
        <f aca="false">MAX('Inputs 2026'!B80:C80,10)-MIN('Inputs 2026'!D80,'Inputs 2026'!E80)</f>
        <v>9.8</v>
      </c>
    </row>
    <row r="81" customFormat="false" ht="12.8" hidden="false" customHeight="false" outlineLevel="0" collapsed="false">
      <c r="A81" s="0" t="s">
        <v>86</v>
      </c>
      <c r="B81" s="0" t="n">
        <f aca="false">'Inputs 2026'!B81+'Inputs 2026'!C81*'Inputs 2026'!D81</f>
        <v>-3.75</v>
      </c>
      <c r="C81" s="0" t="n">
        <f aca="false">('Inputs 2026'!B81-'Inputs 2026'!C81)/'Inputs 2026'!D81</f>
        <v>-9</v>
      </c>
      <c r="D81" s="0" t="n">
        <f aca="false">SUM('Inputs 2026'!B81:D81)</f>
        <v>-3</v>
      </c>
      <c r="E81" s="0" t="n">
        <f aca="false">AVERAGE('Inputs 2026'!B81:E81)</f>
        <v>0</v>
      </c>
      <c r="F81" s="0" t="n">
        <f aca="false">MIN('Inputs 2026'!B81:E81)</f>
        <v>-4</v>
      </c>
      <c r="G81" s="0" t="n">
        <f aca="false">MAX('Inputs 2026'!B81:E81)</f>
        <v>3</v>
      </c>
      <c r="H81" s="0" t="n">
        <f aca="false">COUNT('Inputs 2026'!B81:E81)</f>
        <v>4</v>
      </c>
      <c r="I81" s="0" t="n">
        <f aca="false">ROUND('Inputs 2026'!B81/7,2)</f>
        <v>-0.57</v>
      </c>
      <c r="J81" s="0" t="n">
        <f aca="false">ROUND('Inputs 2026'!C81*1.005,2)</f>
        <v>0.5</v>
      </c>
      <c r="K81" s="0" t="n">
        <f aca="false">ROUND('Inputs 2026'!D81*1234.5678,-2)</f>
        <v>600</v>
      </c>
      <c r="L81" s="0" t="n">
        <f aca="false">IF('Inputs 2026'!B81&gt;'Inputs 2026'!C81,'Inputs 2026'!B81,'Inputs 2026'!C81*2)</f>
        <v>1</v>
      </c>
      <c r="M81" s="0" t="n">
        <f aca="false">IF('Inputs 2026'!B81='Inputs 2026'!C81,1,0)</f>
        <v>0</v>
      </c>
      <c r="N81" s="0" t="n">
        <f aca="false">IF('Inputs 2026'!D81&lt;&gt;0,'Inputs 2026'!B81/'Inputs 2026'!D81,0)</f>
        <v>-8</v>
      </c>
      <c r="O81" s="0" t="n">
        <f aca="false">-'Inputs 2026'!B81%*50%</f>
        <v>0.02</v>
      </c>
      <c r="P81" s="0" t="n">
        <f aca="false">C81*2+D81</f>
        <v>-21</v>
      </c>
      <c r="Q81" s="0" t="e">
        <f aca="false">SUM($C$2:C81)</f>
        <v>#DIV/0!</v>
      </c>
      <c r="R81" s="0" t="n">
        <f aca="false">$D$2+P81</f>
        <v>-19.325</v>
      </c>
      <c r="S81" s="0" t="n">
        <f aca="false">COUNT(B81:Q81)</f>
        <v>15</v>
      </c>
      <c r="T81" s="0" t="n">
        <f aca="false">IF('Inputs 2026'!E81&gt;5,1,0)</f>
        <v>0</v>
      </c>
      <c r="U81" s="0" t="n">
        <f aca="false">IF('Inputs 2026'!E81='Inputs 2026'!D81,1,0)</f>
        <v>0</v>
      </c>
      <c r="V81" s="0" t="n">
        <f aca="false">IF('Inputs 2026'!E81,1,2)</f>
        <v>1</v>
      </c>
      <c r="W81" s="0" t="n">
        <f aca="false">IF('Inputs 2026'!B81&gt;0,IF('Inputs 2026'!C81&gt;0,1,2),3)</f>
        <v>3</v>
      </c>
      <c r="X81" s="0" t="n">
        <f aca="false">SUM('Inputs 2026'!E81,'Inputs 2026'!B81,5)</f>
        <v>4</v>
      </c>
      <c r="Y81" s="0" t="n">
        <f aca="false">MAX('Inputs 2026'!B81:C81,10)-MIN('Inputs 2026'!D81,'Inputs 2026'!E81)</f>
        <v>9.5</v>
      </c>
    </row>
    <row r="82" customFormat="false" ht="12.8" hidden="false" customHeight="false" outlineLevel="0" collapsed="false">
      <c r="A82" s="0" t="s">
        <v>87</v>
      </c>
      <c r="B82" s="0" t="n">
        <f aca="false">'Inputs 2026'!B82+'Inputs 2026'!C82*'Inputs 2026'!D82</f>
        <v>14.25</v>
      </c>
      <c r="C82" s="0" t="n">
        <f aca="false">('Inputs 2026'!B82-'Inputs 2026'!C82)/'Inputs 2026'!D82</f>
        <v>-0.25</v>
      </c>
      <c r="D82" s="0" t="n">
        <f aca="false">SUM('Inputs 2026'!B82:D82)</f>
        <v>9.25</v>
      </c>
      <c r="E82" s="0" t="n">
        <f aca="false">AVERAGE('Inputs 2026'!B82:E82)</f>
        <v>3.08333333333333</v>
      </c>
      <c r="F82" s="0" t="n">
        <f aca="false">MIN('Inputs 2026'!B82:E82)</f>
        <v>0.25</v>
      </c>
      <c r="G82" s="0" t="n">
        <f aca="false">MAX('Inputs 2026'!B82:E82)</f>
        <v>7</v>
      </c>
      <c r="H82" s="0" t="n">
        <f aca="false">COUNT('Inputs 2026'!B82:E82)</f>
        <v>3</v>
      </c>
      <c r="I82" s="0" t="n">
        <f aca="false">ROUND('Inputs 2026'!B82/7,2)</f>
        <v>0.04</v>
      </c>
      <c r="J82" s="0" t="n">
        <f aca="false">ROUND('Inputs 2026'!C82*1.005,2)</f>
        <v>2.01</v>
      </c>
      <c r="K82" s="0" t="n">
        <f aca="false">ROUND('Inputs 2026'!D82*1234.5678,-2)</f>
        <v>8600</v>
      </c>
      <c r="L82" s="0" t="n">
        <f aca="false">IF('Inputs 2026'!B82&gt;'Inputs 2026'!C82,'Inputs 2026'!B82,'Inputs 2026'!C82*2)</f>
        <v>4</v>
      </c>
      <c r="M82" s="0" t="n">
        <f aca="false">IF('Inputs 2026'!B82='Inputs 2026'!C82,1,0)</f>
        <v>0</v>
      </c>
      <c r="N82" s="0" t="n">
        <f aca="false">IF('Inputs 2026'!D82&lt;&gt;0,'Inputs 2026'!B82/'Inputs 2026'!D82,0)</f>
        <v>0.0357142857142857</v>
      </c>
      <c r="O82" s="0" t="n">
        <f aca="false">-'Inputs 2026'!B82%*50%</f>
        <v>-0.00125</v>
      </c>
      <c r="P82" s="0" t="n">
        <f aca="false">C82*2+D82</f>
        <v>8.75</v>
      </c>
      <c r="Q82" s="0" t="e">
        <f aca="false">SUM($C$2:C82)</f>
        <v>#DIV/0!</v>
      </c>
      <c r="R82" s="0" t="n">
        <f aca="false">$D$2+P82</f>
        <v>10.425</v>
      </c>
      <c r="S82" s="0" t="n">
        <f aca="false">COUNT(B82:Q82)</f>
        <v>15</v>
      </c>
      <c r="T82" s="0" t="n">
        <f aca="false">IF('Inputs 2026'!E82&gt;5,1,0)</f>
        <v>1</v>
      </c>
      <c r="U82" s="0" t="n">
        <f aca="false">IF('Inputs 2026'!E82='Inputs 2026'!D82,1,0)</f>
        <v>0</v>
      </c>
      <c r="V82" s="0" t="e">
        <f aca="false">IF('Inputs 2026'!E82,1,2)</f>
        <v>#VALUE!</v>
      </c>
      <c r="W82" s="0" t="n">
        <f aca="false">IF('Inputs 2026'!B82&gt;0,IF('Inputs 2026'!C82&gt;0,1,2),3)</f>
        <v>1</v>
      </c>
      <c r="X82" s="0" t="n">
        <f aca="false">SUM('Inputs 2026'!E82,'Inputs 2026'!B82,5)</f>
        <v>5.25</v>
      </c>
      <c r="Y82" s="0" t="n">
        <f aca="false">MAX('Inputs 2026'!B82:C82,10)-MIN('Inputs 2026'!D82,'Inputs 2026'!E82)</f>
        <v>3</v>
      </c>
    </row>
    <row r="83" customFormat="false" ht="12.8" hidden="false" customHeight="false" outlineLevel="0" collapsed="false">
      <c r="A83" s="0" t="s">
        <v>88</v>
      </c>
      <c r="B83" s="0" t="n">
        <f aca="false">'Inputs 2026'!B83+'Inputs 2026'!C83*'Inputs 2026'!D83</f>
        <v>2</v>
      </c>
      <c r="C83" s="0" t="e">
        <f aca="false">('Inputs 2026'!B83-'Inputs 2026'!C83)/'Inputs 2026'!D83</f>
        <v>#DIV/0!</v>
      </c>
      <c r="D83" s="0" t="n">
        <f aca="false">SUM('Inputs 2026'!B83:D83)</f>
        <v>2</v>
      </c>
      <c r="E83" s="0" t="n">
        <f aca="false">AVERAGE('Inputs 2026'!B83:E83)</f>
        <v>1</v>
      </c>
      <c r="F83" s="0" t="n">
        <f aca="false">MIN('Inputs 2026'!B83:E83)</f>
        <v>0</v>
      </c>
      <c r="G83" s="0" t="n">
        <f aca="false">MAX('Inputs 2026'!B83:E83)</f>
        <v>2</v>
      </c>
      <c r="H83" s="0" t="n">
        <f aca="false">COUNT('Inputs 2026'!B83:E83)</f>
        <v>2</v>
      </c>
      <c r="I83" s="0" t="n">
        <f aca="false">ROUND('Inputs 2026'!B83/7,2)</f>
        <v>0.29</v>
      </c>
      <c r="J83" s="0" t="n">
        <f aca="false">ROUND('Inputs 2026'!C83*1.005,2)</f>
        <v>0</v>
      </c>
      <c r="K83" s="0" t="n">
        <f aca="false">ROUND('Inputs 2026'!D83*1234.5678,-2)</f>
        <v>0</v>
      </c>
      <c r="L83" s="0" t="n">
        <f aca="false">IF('Inputs 2026'!B83&gt;'Inputs 2026'!C83,'Inputs 2026'!B83,'Inputs 2026'!C83*2)</f>
        <v>2</v>
      </c>
      <c r="M83" s="0" t="n">
        <f aca="false">IF('Inputs 2026'!B83='Inputs 2026'!C83,1,0)</f>
        <v>0</v>
      </c>
      <c r="N83" s="0" t="n">
        <f aca="false">IF('Inputs 2026'!D83&lt;&gt;0,'Inputs 2026'!B83/'Inputs 2026'!D83,0)</f>
        <v>0</v>
      </c>
      <c r="O83" s="0" t="n">
        <f aca="false">-'Inputs 2026'!B83%*50%</f>
        <v>-0.01</v>
      </c>
      <c r="P83" s="0" t="e">
        <f aca="false">C83*2+D83</f>
        <v>#DIV/0!</v>
      </c>
      <c r="Q83" s="0" t="e">
        <f aca="false">SUM($C$2:C83)</f>
        <v>#DIV/0!</v>
      </c>
      <c r="R83" s="0" t="e">
        <f aca="false">$D$2+P83</f>
        <v>#DIV/0!</v>
      </c>
      <c r="S83" s="0" t="n">
        <f aca="false">COUNT(B83:Q83)</f>
        <v>13</v>
      </c>
      <c r="T83" s="0" t="n">
        <f aca="false">IF('Inputs 2026'!E83&gt;5,1,0)</f>
        <v>0</v>
      </c>
      <c r="U83" s="0" t="n">
        <f aca="false">IF('Inputs 2026'!E83='Inputs 2026'!D83,1,0)</f>
        <v>1</v>
      </c>
      <c r="V83" s="0" t="n">
        <f aca="false">IF('Inputs 2026'!E83,1,2)</f>
        <v>2</v>
      </c>
      <c r="W83" s="0" t="n">
        <f aca="false">IF('Inputs 2026'!B83&gt;0,IF('Inputs 2026'!C83&gt;0,1,2),3)</f>
        <v>2</v>
      </c>
      <c r="X83" s="0" t="n">
        <f aca="false">SUM('Inputs 2026'!E83,'Inputs 2026'!B83,5)</f>
        <v>7</v>
      </c>
      <c r="Y83" s="0" t="n">
        <f aca="false">MAX('Inputs 2026'!B83:C83,10)-MIN('Inputs 2026'!D83,'Inputs 2026'!E83)</f>
        <v>10</v>
      </c>
    </row>
    <row r="84" customFormat="false" ht="12.8" hidden="false" customHeight="false" outlineLevel="0" collapsed="false">
      <c r="A84" s="0" t="s">
        <v>89</v>
      </c>
      <c r="B84" s="0" t="n">
        <f aca="false">'Inputs 2026'!B84+'Inputs 2026'!C84*'Inputs 2026'!D84</f>
        <v>-3.99</v>
      </c>
      <c r="C84" s="0" t="n">
        <f aca="false">('Inputs 2026'!B84-'Inputs 2026'!C84)/'Inputs 2026'!D84</f>
        <v>3.9975</v>
      </c>
      <c r="D84" s="0" t="n">
        <f aca="false">SUM('Inputs 2026'!B84:D84)</f>
        <v>-27.99</v>
      </c>
      <c r="E84" s="0" t="n">
        <f aca="false">AVERAGE('Inputs 2026'!B84:E84)</f>
        <v>-9.33</v>
      </c>
      <c r="F84" s="0" t="n">
        <f aca="false">MIN('Inputs 2026'!B84:E84)</f>
        <v>-19.99</v>
      </c>
      <c r="G84" s="0" t="n">
        <f aca="false">MAX('Inputs 2026'!B84:E84)</f>
        <v>-4</v>
      </c>
      <c r="H84" s="0" t="n">
        <f aca="false">COUNT('Inputs 2026'!B84:E84)</f>
        <v>3</v>
      </c>
      <c r="I84" s="0" t="n">
        <f aca="false">ROUND('Inputs 2026'!B84/7,2)</f>
        <v>-2.86</v>
      </c>
      <c r="J84" s="0" t="n">
        <f aca="false">ROUND('Inputs 2026'!C84*1.005,2)</f>
        <v>-4.02</v>
      </c>
      <c r="K84" s="0" t="n">
        <f aca="false">ROUND('Inputs 2026'!D84*1234.5678,-2)</f>
        <v>-4900</v>
      </c>
      <c r="L84" s="0" t="n">
        <f aca="false">IF('Inputs 2026'!B84&gt;'Inputs 2026'!C84,'Inputs 2026'!B84,'Inputs 2026'!C84*2)</f>
        <v>-8</v>
      </c>
      <c r="M84" s="0" t="n">
        <f aca="false">IF('Inputs 2026'!B84='Inputs 2026'!C84,1,0)</f>
        <v>0</v>
      </c>
      <c r="N84" s="0" t="n">
        <f aca="false">IF('Inputs 2026'!D84&lt;&gt;0,'Inputs 2026'!B84/'Inputs 2026'!D84,0)</f>
        <v>4.9975</v>
      </c>
      <c r="O84" s="0" t="n">
        <f aca="false">-'Inputs 2026'!B84%*50%</f>
        <v>0.09995</v>
      </c>
      <c r="P84" s="0" t="n">
        <f aca="false">C84*2+D84</f>
        <v>-19.995</v>
      </c>
      <c r="Q84" s="0" t="e">
        <f aca="false">SUM($C$2:C84)</f>
        <v>#DIV/0!</v>
      </c>
      <c r="R84" s="0" t="n">
        <f aca="false">$D$2+P84</f>
        <v>-18.32</v>
      </c>
      <c r="S84" s="0" t="n">
        <f aca="false">COUNT(B84:Q84)</f>
        <v>15</v>
      </c>
      <c r="T84" s="0" t="n">
        <f aca="false">IF('Inputs 2026'!E84&gt;5,1,0)</f>
        <v>1</v>
      </c>
      <c r="U84" s="0" t="n">
        <f aca="false">IF('Inputs 2026'!E84='Inputs 2026'!D84,1,0)</f>
        <v>0</v>
      </c>
      <c r="V84" s="0" t="e">
        <f aca="false">IF('Inputs 2026'!E84,1,2)</f>
        <v>#VALUE!</v>
      </c>
      <c r="W84" s="0" t="n">
        <f aca="false">IF('Inputs 2026'!B84&gt;0,IF('Inputs 2026'!C84&gt;0,1,2),3)</f>
        <v>3</v>
      </c>
      <c r="X84" s="0" t="n">
        <f aca="false">SUM('Inputs 2026'!E84,'Inputs 2026'!B84,5)</f>
        <v>-14.99</v>
      </c>
      <c r="Y84" s="0" t="n">
        <f aca="false">MAX('Inputs 2026'!B84:C84,10)-MIN('Inputs 2026'!D84,'Inputs 2026'!E84)</f>
        <v>14</v>
      </c>
    </row>
    <row r="85" customFormat="false" ht="12.8" hidden="false" customHeight="false" outlineLevel="0" collapsed="false">
      <c r="A85" s="0" t="s">
        <v>90</v>
      </c>
      <c r="B85" s="0" t="n">
        <f aca="false">'Inputs 2026'!B85+'Inputs 2026'!C85*'Inputs 2026'!D85</f>
        <v>226</v>
      </c>
      <c r="C85" s="0" t="e">
        <f aca="false">('Inputs 2026'!B85-'Inputs 2026'!C85)/'Inputs 2026'!D85</f>
        <v>#DIV/0!</v>
      </c>
      <c r="D85" s="0" t="n">
        <f aca="false">SUM('Inputs 2026'!B85:D85)</f>
        <v>227.005</v>
      </c>
      <c r="E85" s="0" t="n">
        <f aca="false">AVERAGE('Inputs 2026'!B85:E85)</f>
        <v>238.668333333333</v>
      </c>
      <c r="F85" s="0" t="n">
        <f aca="false">MIN('Inputs 2026'!B85:E85)</f>
        <v>1.005</v>
      </c>
      <c r="G85" s="0" t="n">
        <f aca="false">MAX('Inputs 2026'!B85:E85)</f>
        <v>489</v>
      </c>
      <c r="H85" s="0" t="n">
        <f aca="false">COUNT('Inputs 2026'!B85:E85)</f>
        <v>3</v>
      </c>
      <c r="I85" s="0" t="n">
        <f aca="false">ROUND('Inputs 2026'!B85/7,2)</f>
        <v>32.29</v>
      </c>
      <c r="J85" s="0" t="n">
        <f aca="false">ROUND('Inputs 2026'!C85*1.005,2)</f>
        <v>1.01</v>
      </c>
      <c r="K85" s="0" t="n">
        <f aca="false">ROUND('Inputs 2026'!D85*1234.5678,-2)</f>
        <v>0</v>
      </c>
      <c r="L85" s="0" t="n">
        <f aca="false">IF('Inputs 2026'!B85&gt;'Inputs 2026'!C85,'Inputs 2026'!B85,'Inputs 2026'!C85*2)</f>
        <v>226</v>
      </c>
      <c r="M85" s="0" t="n">
        <f aca="false">IF('Inputs 2026'!B85='Inputs 2026'!C85,1,0)</f>
        <v>0</v>
      </c>
      <c r="N85" s="0" t="n">
        <f aca="false">IF('Inputs 2026'!D85&lt;&gt;0,'Inputs 2026'!B85/'Inputs 2026'!D85,0)</f>
        <v>0</v>
      </c>
      <c r="O85" s="0" t="n">
        <f aca="false">-'Inputs 2026'!B85%*50%</f>
        <v>-1.13</v>
      </c>
      <c r="P85" s="0" t="e">
        <f aca="false">C85*2+D85</f>
        <v>#DIV/0!</v>
      </c>
      <c r="Q85" s="0" t="e">
        <f aca="false">SUM($C$2:C85)</f>
        <v>#DIV/0!</v>
      </c>
      <c r="R85" s="0" t="e">
        <f aca="false">$D$2+P85</f>
        <v>#DIV/0!</v>
      </c>
      <c r="S85" s="0" t="n">
        <f aca="false">COUNT(B85:Q85)</f>
        <v>13</v>
      </c>
      <c r="T85" s="0" t="n">
        <f aca="false">IF('Inputs 2026'!E85&gt;5,1,0)</f>
        <v>1</v>
      </c>
      <c r="U85" s="0" t="n">
        <f aca="false">IF('Inputs 2026'!E85='Inputs 2026'!D85,1,0)</f>
        <v>0</v>
      </c>
      <c r="V85" s="0" t="n">
        <f aca="false">IF('Inputs 2026'!E85,1,2)</f>
        <v>1</v>
      </c>
      <c r="W85" s="0" t="n">
        <f aca="false">IF('Inputs 2026'!B85&gt;0,IF('Inputs 2026'!C85&gt;0,1,2),3)</f>
        <v>1</v>
      </c>
      <c r="X85" s="0" t="n">
        <f aca="false">SUM('Inputs 2026'!E85,'Inputs 2026'!B85,5)</f>
        <v>720</v>
      </c>
      <c r="Y85" s="0" t="n">
        <f aca="false">MAX('Inputs 2026'!B85:C85,10)-MIN('Inputs 2026'!D85,'Inputs 2026'!E85)</f>
        <v>-263</v>
      </c>
    </row>
    <row r="86" customFormat="false" ht="12.8" hidden="false" customHeight="false" outlineLevel="0" collapsed="false">
      <c r="A86" s="0" t="s">
        <v>91</v>
      </c>
      <c r="B86" s="0" t="n">
        <f aca="false">'Inputs 2026'!B86+'Inputs 2026'!C86*'Inputs 2026'!D86</f>
        <v>0.1</v>
      </c>
      <c r="C86" s="0" t="n">
        <f aca="false">('Inputs 2026'!B86-'Inputs 2026'!C86)/'Inputs 2026'!D86</f>
        <v>-0.025</v>
      </c>
      <c r="D86" s="0" t="n">
        <f aca="false">SUM('Inputs 2026'!B86:D86)</f>
        <v>-3.9</v>
      </c>
      <c r="E86" s="0" t="n">
        <f aca="false">AVERAGE('Inputs 2026'!B86:E86)</f>
        <v>-1.95</v>
      </c>
      <c r="F86" s="0" t="n">
        <f aca="false">MIN('Inputs 2026'!B86:E86)</f>
        <v>-4</v>
      </c>
      <c r="G86" s="0" t="n">
        <f aca="false">MAX('Inputs 2026'!B86:E86)</f>
        <v>0.1</v>
      </c>
      <c r="H86" s="0" t="n">
        <f aca="false">COUNT('Inputs 2026'!B86:E86)</f>
        <v>2</v>
      </c>
      <c r="I86" s="0" t="n">
        <f aca="false">ROUND('Inputs 2026'!B86/7,2)</f>
        <v>0.01</v>
      </c>
      <c r="J86" s="0" t="n">
        <f aca="false">ROUND('Inputs 2026'!C86*1.005,2)</f>
        <v>0</v>
      </c>
      <c r="K86" s="0" t="n">
        <f aca="false">ROUND('Inputs 2026'!D86*1234.5678,-2)</f>
        <v>-4900</v>
      </c>
      <c r="L86" s="0" t="n">
        <f aca="false">IF('Inputs 2026'!B86&gt;'Inputs 2026'!C86,'Inputs 2026'!B86,'Inputs 2026'!C86*2)</f>
        <v>0.1</v>
      </c>
      <c r="M86" s="0" t="n">
        <f aca="false">IF('Inputs 2026'!B86='Inputs 2026'!C86,1,0)</f>
        <v>0</v>
      </c>
      <c r="N86" s="0" t="n">
        <f aca="false">IF('Inputs 2026'!D86&lt;&gt;0,'Inputs 2026'!B86/'Inputs 2026'!D86,0)</f>
        <v>-0.025</v>
      </c>
      <c r="O86" s="0" t="n">
        <f aca="false">-'Inputs 2026'!B86%*50%</f>
        <v>-0.0005</v>
      </c>
      <c r="P86" s="0" t="n">
        <f aca="false">C86*2+D86</f>
        <v>-3.95</v>
      </c>
      <c r="Q86" s="0" t="e">
        <f aca="false">SUM($C$2:C86)</f>
        <v>#DIV/0!</v>
      </c>
      <c r="R86" s="0" t="n">
        <f aca="false">$D$2+P86</f>
        <v>-2.275</v>
      </c>
      <c r="S86" s="0" t="n">
        <f aca="false">COUNT(B86:Q86)</f>
        <v>15</v>
      </c>
      <c r="T86" s="0" t="n">
        <f aca="false">IF('Inputs 2026'!E86&gt;5,1,0)</f>
        <v>0</v>
      </c>
      <c r="U86" s="0" t="n">
        <f aca="false">IF('Inputs 2026'!E86='Inputs 2026'!D86,1,0)</f>
        <v>0</v>
      </c>
      <c r="V86" s="0" t="n">
        <f aca="false">IF('Inputs 2026'!E86,1,2)</f>
        <v>2</v>
      </c>
      <c r="W86" s="0" t="n">
        <f aca="false">IF('Inputs 2026'!B86&gt;0,IF('Inputs 2026'!C86&gt;0,1,2),3)</f>
        <v>2</v>
      </c>
      <c r="X86" s="0" t="n">
        <f aca="false">SUM('Inputs 2026'!E86,'Inputs 2026'!B86,5)</f>
        <v>5.1</v>
      </c>
      <c r="Y86" s="0" t="n">
        <f aca="false">MAX('Inputs 2026'!B86:C86,10)-MIN('Inputs 2026'!D86,'Inputs 2026'!E86)</f>
        <v>14</v>
      </c>
    </row>
    <row r="87" customFormat="false" ht="12.8" hidden="false" customHeight="false" outlineLevel="0" collapsed="false">
      <c r="A87" s="0" t="s">
        <v>92</v>
      </c>
      <c r="B87" s="0" t="n">
        <f aca="false">'Inputs 2026'!B87+'Inputs 2026'!C87*'Inputs 2026'!D87</f>
        <v>203</v>
      </c>
      <c r="C87" s="0" t="n">
        <f aca="false">('Inputs 2026'!B87-'Inputs 2026'!C87)/'Inputs 2026'!D87</f>
        <v>0.01</v>
      </c>
      <c r="D87" s="0" t="n">
        <f aca="false">SUM('Inputs 2026'!B87:D87)</f>
        <v>105</v>
      </c>
      <c r="E87" s="0" t="n">
        <f aca="false">AVERAGE('Inputs 2026'!B87:E87)</f>
        <v>35</v>
      </c>
      <c r="F87" s="0" t="n">
        <f aca="false">MIN('Inputs 2026'!B87:E87)</f>
        <v>2</v>
      </c>
      <c r="G87" s="0" t="n">
        <f aca="false">MAX('Inputs 2026'!B87:E87)</f>
        <v>100</v>
      </c>
      <c r="H87" s="0" t="n">
        <f aca="false">COUNT('Inputs 2026'!B87:E87)</f>
        <v>3</v>
      </c>
      <c r="I87" s="0" t="n">
        <f aca="false">ROUND('Inputs 2026'!B87/7,2)</f>
        <v>0.43</v>
      </c>
      <c r="J87" s="0" t="n">
        <f aca="false">ROUND('Inputs 2026'!C87*1.005,2)</f>
        <v>2.01</v>
      </c>
      <c r="K87" s="0" t="n">
        <f aca="false">ROUND('Inputs 2026'!D87*1234.5678,-2)</f>
        <v>123500</v>
      </c>
      <c r="L87" s="0" t="n">
        <f aca="false">IF('Inputs 2026'!B87&gt;'Inputs 2026'!C87,'Inputs 2026'!B87,'Inputs 2026'!C87*2)</f>
        <v>3</v>
      </c>
      <c r="M87" s="0" t="n">
        <f aca="false">IF('Inputs 2026'!B87='Inputs 2026'!C87,1,0)</f>
        <v>0</v>
      </c>
      <c r="N87" s="0" t="n">
        <f aca="false">IF('Inputs 2026'!D87&lt;&gt;0,'Inputs 2026'!B87/'Inputs 2026'!D87,0)</f>
        <v>0.03</v>
      </c>
      <c r="O87" s="0" t="n">
        <f aca="false">-'Inputs 2026'!B87%*50%</f>
        <v>-0.015</v>
      </c>
      <c r="P87" s="0" t="n">
        <f aca="false">C87*2+D87</f>
        <v>105.02</v>
      </c>
      <c r="Q87" s="0" t="e">
        <f aca="false">SUM($C$2:C87)</f>
        <v>#DIV/0!</v>
      </c>
      <c r="R87" s="0" t="n">
        <f aca="false">$D$2+P87</f>
        <v>106.695</v>
      </c>
      <c r="S87" s="0" t="n">
        <f aca="false">COUNT(B87:Q87)</f>
        <v>15</v>
      </c>
      <c r="T87" s="0" t="n">
        <f aca="false">IF('Inputs 2026'!E87&gt;5,1,0)</f>
        <v>0</v>
      </c>
      <c r="U87" s="0" t="n">
        <f aca="false">IF('Inputs 2026'!E87='Inputs 2026'!D87,1,0)</f>
        <v>0</v>
      </c>
      <c r="V87" s="0" t="n">
        <f aca="false">IF('Inputs 2026'!E87,1,2)</f>
        <v>2</v>
      </c>
      <c r="W87" s="0" t="n">
        <f aca="false">IF('Inputs 2026'!B87&gt;0,IF('Inputs 2026'!C87&gt;0,1,2),3)</f>
        <v>1</v>
      </c>
      <c r="X87" s="0" t="n">
        <f aca="false">SUM('Inputs 2026'!E87,'Inputs 2026'!B87,5)</f>
        <v>8</v>
      </c>
      <c r="Y87" s="0" t="n">
        <f aca="false">MAX('Inputs 2026'!B87:C87,10)-MIN('Inputs 2026'!D87,'Inputs 2026'!E87)</f>
        <v>-90</v>
      </c>
    </row>
    <row r="88" customFormat="false" ht="12.8" hidden="false" customHeight="false" outlineLevel="0" collapsed="false">
      <c r="A88" s="0" t="s">
        <v>93</v>
      </c>
      <c r="B88" s="0" t="n">
        <f aca="false">'Inputs 2026'!B88+'Inputs 2026'!C88*'Inputs 2026'!D88</f>
        <v>0</v>
      </c>
      <c r="C88" s="0" t="e">
        <f aca="false">('Inputs 2026'!B88-'Inputs 2026'!C88)/'Inputs 2026'!D88</f>
        <v>#DIV/0!</v>
      </c>
      <c r="D88" s="0" t="n">
        <f aca="false">SUM('Inputs 2026'!B88:D88)</f>
        <v>25</v>
      </c>
      <c r="E88" s="0" t="n">
        <f aca="false">AVERAGE('Inputs 2026'!B88:E88)</f>
        <v>8</v>
      </c>
      <c r="F88" s="0" t="n">
        <f aca="false">MIN('Inputs 2026'!B88:E88)</f>
        <v>-1</v>
      </c>
      <c r="G88" s="0" t="n">
        <f aca="false">MAX('Inputs 2026'!B88:E88)</f>
        <v>25</v>
      </c>
      <c r="H88" s="0" t="n">
        <f aca="false">COUNT('Inputs 2026'!B88:E88)</f>
        <v>3</v>
      </c>
      <c r="I88" s="0" t="n">
        <f aca="false">ROUND('Inputs 2026'!B88/7,2)</f>
        <v>0</v>
      </c>
      <c r="J88" s="0" t="n">
        <f aca="false">ROUND('Inputs 2026'!C88*1.005,2)</f>
        <v>25.13</v>
      </c>
      <c r="K88" s="0" t="n">
        <f aca="false">ROUND('Inputs 2026'!D88*1234.5678,-2)</f>
        <v>0</v>
      </c>
      <c r="L88" s="0" t="n">
        <f aca="false">IF('Inputs 2026'!B88&gt;'Inputs 2026'!C88,'Inputs 2026'!B88,'Inputs 2026'!C88*2)</f>
        <v>50</v>
      </c>
      <c r="M88" s="0" t="n">
        <f aca="false">IF('Inputs 2026'!B88='Inputs 2026'!C88,1,0)</f>
        <v>0</v>
      </c>
      <c r="N88" s="0" t="n">
        <f aca="false">IF('Inputs 2026'!D88&lt;&gt;0,'Inputs 2026'!B88/'Inputs 2026'!D88,0)</f>
        <v>0</v>
      </c>
      <c r="O88" s="0" t="n">
        <f aca="false">-'Inputs 2026'!B88%*50%</f>
        <v>-0</v>
      </c>
      <c r="P88" s="0" t="e">
        <f aca="false">C88*2+D88</f>
        <v>#DIV/0!</v>
      </c>
      <c r="Q88" s="0" t="e">
        <f aca="false">SUM($C$2:C88)</f>
        <v>#DIV/0!</v>
      </c>
      <c r="R88" s="0" t="e">
        <f aca="false">$D$2+P88</f>
        <v>#DIV/0!</v>
      </c>
      <c r="S88" s="0" t="n">
        <f aca="false">COUNT(B88:Q88)</f>
        <v>13</v>
      </c>
      <c r="T88" s="0" t="n">
        <f aca="false">IF('Inputs 2026'!E88&gt;5,1,0)</f>
        <v>0</v>
      </c>
      <c r="U88" s="0" t="n">
        <f aca="false">IF('Inputs 2026'!E88='Inputs 2026'!D88,1,0)</f>
        <v>0</v>
      </c>
      <c r="V88" s="0" t="n">
        <f aca="false">IF('Inputs 2026'!E88,1,2)</f>
        <v>1</v>
      </c>
      <c r="W88" s="0" t="n">
        <f aca="false">IF('Inputs 2026'!B88&gt;0,IF('Inputs 2026'!C88&gt;0,1,2),3)</f>
        <v>3</v>
      </c>
      <c r="X88" s="0" t="n">
        <f aca="false">SUM('Inputs 2026'!E88,'Inputs 2026'!B88,5)</f>
        <v>4</v>
      </c>
      <c r="Y88" s="0" t="n">
        <f aca="false">MAX('Inputs 2026'!B88:C88,10)-MIN('Inputs 2026'!D88,'Inputs 2026'!E88)</f>
        <v>26</v>
      </c>
    </row>
    <row r="89" customFormat="false" ht="12.8" hidden="false" customHeight="false" outlineLevel="0" collapsed="false">
      <c r="A89" s="0" t="s">
        <v>94</v>
      </c>
      <c r="B89" s="0" t="n">
        <f aca="false">'Inputs 2026'!B89+'Inputs 2026'!C89*'Inputs 2026'!D89</f>
        <v>-159.92</v>
      </c>
      <c r="C89" s="0" t="n">
        <f aca="false">('Inputs 2026'!B89-'Inputs 2026'!C89)/'Inputs 2026'!D89</f>
        <v>1.35017508754377</v>
      </c>
      <c r="D89" s="0" t="n">
        <f aca="false">SUM('Inputs 2026'!B89:D89)</f>
        <v>-32.98</v>
      </c>
      <c r="E89" s="0" t="n">
        <f aca="false">AVERAGE('Inputs 2026'!B89:E89)</f>
        <v>-10.9933333333333</v>
      </c>
      <c r="F89" s="0" t="n">
        <f aca="false">MIN('Inputs 2026'!B89:E89)</f>
        <v>-19.99</v>
      </c>
      <c r="G89" s="0" t="n">
        <f aca="false">MAX('Inputs 2026'!B89:E89)</f>
        <v>7</v>
      </c>
      <c r="H89" s="0" t="n">
        <f aca="false">COUNT('Inputs 2026'!B89:E89)</f>
        <v>3</v>
      </c>
      <c r="I89" s="0" t="n">
        <f aca="false">ROUND('Inputs 2026'!B89/7,2)</f>
        <v>-2.86</v>
      </c>
      <c r="J89" s="0" t="n">
        <f aca="false">ROUND('Inputs 2026'!C89*1.005,2)</f>
        <v>7.04</v>
      </c>
      <c r="K89" s="0" t="n">
        <f aca="false">ROUND('Inputs 2026'!D89*1234.5678,-2)</f>
        <v>-24700</v>
      </c>
      <c r="L89" s="0" t="n">
        <f aca="false">IF('Inputs 2026'!B89&gt;'Inputs 2026'!C89,'Inputs 2026'!B89,'Inputs 2026'!C89*2)</f>
        <v>14</v>
      </c>
      <c r="M89" s="0" t="n">
        <f aca="false">IF('Inputs 2026'!B89='Inputs 2026'!C89,1,0)</f>
        <v>0</v>
      </c>
      <c r="N89" s="0" t="n">
        <f aca="false">IF('Inputs 2026'!D89&lt;&gt;0,'Inputs 2026'!B89/'Inputs 2026'!D89,0)</f>
        <v>1</v>
      </c>
      <c r="O89" s="0" t="n">
        <f aca="false">-'Inputs 2026'!B89%*50%</f>
        <v>0.09995</v>
      </c>
      <c r="P89" s="0" t="n">
        <f aca="false">C89*2+D89</f>
        <v>-30.2796498249125</v>
      </c>
      <c r="Q89" s="0" t="e">
        <f aca="false">SUM($C$2:C89)</f>
        <v>#DIV/0!</v>
      </c>
      <c r="R89" s="0" t="n">
        <f aca="false">$D$2+P89</f>
        <v>-28.6046498249125</v>
      </c>
      <c r="S89" s="0" t="n">
        <f aca="false">COUNT(B89:Q89)</f>
        <v>15</v>
      </c>
      <c r="T89" s="0" t="n">
        <f aca="false">IF('Inputs 2026'!E89&gt;5,1,0)</f>
        <v>1</v>
      </c>
      <c r="U89" s="0" t="n">
        <f aca="false">IF('Inputs 2026'!E89='Inputs 2026'!D89,1,0)</f>
        <v>0</v>
      </c>
      <c r="V89" s="0" t="e">
        <f aca="false">IF('Inputs 2026'!E89,1,2)</f>
        <v>#VALUE!</v>
      </c>
      <c r="W89" s="0" t="n">
        <f aca="false">IF('Inputs 2026'!B89&gt;0,IF('Inputs 2026'!C89&gt;0,1,2),3)</f>
        <v>3</v>
      </c>
      <c r="X89" s="0" t="n">
        <f aca="false">SUM('Inputs 2026'!E89,'Inputs 2026'!B89,5)</f>
        <v>-14.99</v>
      </c>
      <c r="Y89" s="0" t="n">
        <f aca="false">MAX('Inputs 2026'!B89:C89,10)-MIN('Inputs 2026'!D89,'Inputs 2026'!E89)</f>
        <v>29.99</v>
      </c>
    </row>
    <row r="90" customFormat="false" ht="12.8" hidden="false" customHeight="false" outlineLevel="0" collapsed="false">
      <c r="A90" s="0" t="s">
        <v>95</v>
      </c>
      <c r="B90" s="0" t="n">
        <f aca="false">'Inputs 2026'!B90+'Inputs 2026'!C90*'Inputs 2026'!D90</f>
        <v>0.5</v>
      </c>
      <c r="C90" s="0" t="e">
        <f aca="false">('Inputs 2026'!B90-'Inputs 2026'!C90)/'Inputs 2026'!D90</f>
        <v>#DIV/0!</v>
      </c>
      <c r="D90" s="0" t="n">
        <f aca="false">SUM('Inputs 2026'!B90:D90)</f>
        <v>1235.0678</v>
      </c>
      <c r="E90" s="0" t="n">
        <f aca="false">AVERAGE('Inputs 2026'!B90:E90)</f>
        <v>617.5339</v>
      </c>
      <c r="F90" s="0" t="n">
        <f aca="false">MIN('Inputs 2026'!B90:E90)</f>
        <v>0.5</v>
      </c>
      <c r="G90" s="0" t="n">
        <f aca="false">MAX('Inputs 2026'!B90:E90)</f>
        <v>1234.5678</v>
      </c>
      <c r="H90" s="0" t="n">
        <f aca="false">COUNT('Inputs 2026'!B90:E90)</f>
        <v>2</v>
      </c>
      <c r="I90" s="0" t="n">
        <f aca="false">ROUND('Inputs 2026'!B90/7,2)</f>
        <v>0.07</v>
      </c>
      <c r="J90" s="0" t="n">
        <f aca="false">ROUND('Inputs 2026'!C90*1.005,2)</f>
        <v>1240.74</v>
      </c>
      <c r="K90" s="0" t="n">
        <f aca="false">ROUND('Inputs 2026'!D90*1234.5678,-2)</f>
        <v>0</v>
      </c>
      <c r="L90" s="0" t="n">
        <f aca="false">IF('Inputs 2026'!B90&gt;'Inputs 2026'!C90,'Inputs 2026'!B90,'Inputs 2026'!C90*2)</f>
        <v>2469.1356</v>
      </c>
      <c r="M90" s="0" t="n">
        <f aca="false">IF('Inputs 2026'!B90='Inputs 2026'!C90,1,0)</f>
        <v>0</v>
      </c>
      <c r="N90" s="0" t="n">
        <f aca="false">IF('Inputs 2026'!D90&lt;&gt;0,'Inputs 2026'!B90/'Inputs 2026'!D90,0)</f>
        <v>0</v>
      </c>
      <c r="O90" s="0" t="n">
        <f aca="false">-'Inputs 2026'!B90%*50%</f>
        <v>-0.0025</v>
      </c>
      <c r="P90" s="0" t="e">
        <f aca="false">C90*2+D90</f>
        <v>#DIV/0!</v>
      </c>
      <c r="Q90" s="0" t="e">
        <f aca="false">SUM($C$2:C90)</f>
        <v>#DIV/0!</v>
      </c>
      <c r="R90" s="0" t="e">
        <f aca="false">$D$2+P90</f>
        <v>#DIV/0!</v>
      </c>
      <c r="S90" s="0" t="n">
        <f aca="false">COUNT(B90:Q90)</f>
        <v>13</v>
      </c>
      <c r="T90" s="0" t="n">
        <f aca="false">IF('Inputs 2026'!E90&gt;5,1,0)</f>
        <v>1</v>
      </c>
      <c r="U90" s="0" t="n">
        <f aca="false">IF('Inputs 2026'!E90='Inputs 2026'!D90,1,0)</f>
        <v>0</v>
      </c>
      <c r="V90" s="0" t="e">
        <f aca="false">IF('Inputs 2026'!E90,1,2)</f>
        <v>#VALUE!</v>
      </c>
      <c r="W90" s="0" t="n">
        <f aca="false">IF('Inputs 2026'!B90&gt;0,IF('Inputs 2026'!C90&gt;0,1,2),3)</f>
        <v>1</v>
      </c>
      <c r="X90" s="0" t="n">
        <f aca="false">SUM('Inputs 2026'!E90,'Inputs 2026'!B90,5)</f>
        <v>5.5</v>
      </c>
      <c r="Y90" s="0" t="n">
        <f aca="false">MAX('Inputs 2026'!B90:C90,10)-MIN('Inputs 2026'!D90,'Inputs 2026'!E90)</f>
        <v>1234.5678</v>
      </c>
    </row>
    <row r="91" customFormat="false" ht="12.8" hidden="false" customHeight="false" outlineLevel="0" collapsed="false">
      <c r="A91" s="0" t="s">
        <v>96</v>
      </c>
      <c r="B91" s="0" t="n">
        <f aca="false">'Inputs 2026'!B91+'Inputs 2026'!C91*'Inputs 2026'!D91</f>
        <v>-75.6725</v>
      </c>
      <c r="C91" s="0" t="n">
        <f aca="false">('Inputs 2026'!B91-'Inputs 2026'!C91)/'Inputs 2026'!D91</f>
        <v>-28.9757009345794</v>
      </c>
      <c r="D91" s="0" t="n">
        <f aca="false">SUM('Inputs 2026'!B91:D91)</f>
        <v>-73.835</v>
      </c>
      <c r="E91" s="0" t="n">
        <f aca="false">AVERAGE('Inputs 2026'!B91:E91)</f>
        <v>-24.6116666666667</v>
      </c>
      <c r="F91" s="0" t="n">
        <f aca="false">MIN('Inputs 2026'!B91:E91)</f>
        <v>-77.01</v>
      </c>
      <c r="G91" s="0" t="n">
        <f aca="false">MAX('Inputs 2026'!B91:E91)</f>
        <v>2.675</v>
      </c>
      <c r="H91" s="0" t="n">
        <f aca="false">COUNT('Inputs 2026'!B91:E91)</f>
        <v>3</v>
      </c>
      <c r="I91" s="0" t="n">
        <f aca="false">ROUND('Inputs 2026'!B91/7,2)</f>
        <v>-11</v>
      </c>
      <c r="J91" s="0" t="n">
        <f aca="false">ROUND('Inputs 2026'!C91*1.005,2)</f>
        <v>0.5</v>
      </c>
      <c r="K91" s="0" t="n">
        <f aca="false">ROUND('Inputs 2026'!D91*1234.5678,-2)</f>
        <v>3300</v>
      </c>
      <c r="L91" s="0" t="n">
        <f aca="false">IF('Inputs 2026'!B91&gt;'Inputs 2026'!C91,'Inputs 2026'!B91,'Inputs 2026'!C91*2)</f>
        <v>1</v>
      </c>
      <c r="M91" s="0" t="n">
        <f aca="false">IF('Inputs 2026'!B91='Inputs 2026'!C91,1,0)</f>
        <v>0</v>
      </c>
      <c r="N91" s="0" t="n">
        <f aca="false">IF('Inputs 2026'!D91&lt;&gt;0,'Inputs 2026'!B91/'Inputs 2026'!D91,0)</f>
        <v>-28.788785046729</v>
      </c>
      <c r="O91" s="0" t="n">
        <f aca="false">-'Inputs 2026'!B91%*50%</f>
        <v>0.38505</v>
      </c>
      <c r="P91" s="0" t="n">
        <f aca="false">C91*2+D91</f>
        <v>-131.786401869159</v>
      </c>
      <c r="Q91" s="0" t="e">
        <f aca="false">SUM($C$2:C91)</f>
        <v>#DIV/0!</v>
      </c>
      <c r="R91" s="0" t="n">
        <f aca="false">$D$2+P91</f>
        <v>-130.111401869159</v>
      </c>
      <c r="S91" s="0" t="n">
        <f aca="false">COUNT(B91:Q91)</f>
        <v>15</v>
      </c>
      <c r="T91" s="0" t="n">
        <f aca="false">IF('Inputs 2026'!E91&gt;5,1,0)</f>
        <v>0</v>
      </c>
      <c r="U91" s="0" t="n">
        <f aca="false">IF('Inputs 2026'!E91='Inputs 2026'!D91,1,0)</f>
        <v>0</v>
      </c>
      <c r="V91" s="0" t="n">
        <f aca="false">IF('Inputs 2026'!E91,1,2)</f>
        <v>2</v>
      </c>
      <c r="W91" s="0" t="n">
        <f aca="false">IF('Inputs 2026'!B91&gt;0,IF('Inputs 2026'!C91&gt;0,1,2),3)</f>
        <v>3</v>
      </c>
      <c r="X91" s="0" t="n">
        <f aca="false">SUM('Inputs 2026'!E91,'Inputs 2026'!B91,5)</f>
        <v>-72.01</v>
      </c>
      <c r="Y91" s="0" t="n">
        <f aca="false">MAX('Inputs 2026'!B91:C91,10)-MIN('Inputs 2026'!D91,'Inputs 2026'!E91)</f>
        <v>7.325</v>
      </c>
    </row>
    <row r="92" customFormat="false" ht="12.8" hidden="false" customHeight="false" outlineLevel="0" collapsed="false">
      <c r="A92" s="0" t="s">
        <v>97</v>
      </c>
      <c r="B92" s="0" t="n">
        <f aca="false">'Inputs 2026'!B92+'Inputs 2026'!C92*'Inputs 2026'!D92</f>
        <v>1234.8178</v>
      </c>
      <c r="C92" s="0" t="n">
        <f aca="false">('Inputs 2026'!B92-'Inputs 2026'!C92)/'Inputs 2026'!D92</f>
        <v>1234.3178</v>
      </c>
      <c r="D92" s="0" t="n">
        <f aca="false">SUM('Inputs 2026'!B92:D92)</f>
        <v>1235.8178</v>
      </c>
      <c r="E92" s="0" t="n">
        <f aca="false">AVERAGE('Inputs 2026'!B92:E92)</f>
        <v>309.45445</v>
      </c>
      <c r="F92" s="0" t="n">
        <f aca="false">MIN('Inputs 2026'!B92:E92)</f>
        <v>0.25</v>
      </c>
      <c r="G92" s="0" t="n">
        <f aca="false">MAX('Inputs 2026'!B92:E92)</f>
        <v>1234.5678</v>
      </c>
      <c r="H92" s="0" t="n">
        <f aca="false">COUNT('Inputs 2026'!B92:E92)</f>
        <v>4</v>
      </c>
      <c r="I92" s="0" t="n">
        <f aca="false">ROUND('Inputs 2026'!B92/7,2)</f>
        <v>176.37</v>
      </c>
      <c r="J92" s="0" t="n">
        <f aca="false">ROUND('Inputs 2026'!C92*1.005,2)</f>
        <v>0.25</v>
      </c>
      <c r="K92" s="0" t="n">
        <f aca="false">ROUND('Inputs 2026'!D92*1234.5678,-2)</f>
        <v>1200</v>
      </c>
      <c r="L92" s="0" t="n">
        <f aca="false">IF('Inputs 2026'!B92&gt;'Inputs 2026'!C92,'Inputs 2026'!B92,'Inputs 2026'!C92*2)</f>
        <v>1234.5678</v>
      </c>
      <c r="M92" s="0" t="n">
        <f aca="false">IF('Inputs 2026'!B92='Inputs 2026'!C92,1,0)</f>
        <v>0</v>
      </c>
      <c r="N92" s="0" t="n">
        <f aca="false">IF('Inputs 2026'!D92&lt;&gt;0,'Inputs 2026'!B92/'Inputs 2026'!D92,0)</f>
        <v>1234.5678</v>
      </c>
      <c r="O92" s="0" t="n">
        <f aca="false">-'Inputs 2026'!B92%*50%</f>
        <v>-6.172839</v>
      </c>
      <c r="P92" s="0" t="n">
        <f aca="false">C92*2+D92</f>
        <v>3704.4534</v>
      </c>
      <c r="Q92" s="0" t="e">
        <f aca="false">SUM($C$2:C92)</f>
        <v>#DIV/0!</v>
      </c>
      <c r="R92" s="0" t="n">
        <f aca="false">$D$2+P92</f>
        <v>3706.1284</v>
      </c>
      <c r="S92" s="0" t="n">
        <f aca="false">COUNT(B92:Q92)</f>
        <v>15</v>
      </c>
      <c r="T92" s="0" t="n">
        <f aca="false">IF('Inputs 2026'!E92&gt;5,1,0)</f>
        <v>0</v>
      </c>
      <c r="U92" s="0" t="n">
        <f aca="false">IF('Inputs 2026'!E92='Inputs 2026'!D92,1,0)</f>
        <v>0</v>
      </c>
      <c r="V92" s="0" t="n">
        <f aca="false">IF('Inputs 2026'!E92,1,2)</f>
        <v>1</v>
      </c>
      <c r="W92" s="0" t="n">
        <f aca="false">IF('Inputs 2026'!B92&gt;0,IF('Inputs 2026'!C92&gt;0,1,2),3)</f>
        <v>1</v>
      </c>
      <c r="X92" s="0" t="n">
        <f aca="false">SUM('Inputs 2026'!E92,'Inputs 2026'!B92,5)</f>
        <v>1241.5678</v>
      </c>
      <c r="Y92" s="0" t="n">
        <f aca="false">MAX('Inputs 2026'!B92:C92,10)-MIN('Inputs 2026'!D92,'Inputs 2026'!E92)</f>
        <v>1233.5678</v>
      </c>
    </row>
    <row r="93" customFormat="false" ht="12.8" hidden="false" customHeight="false" outlineLevel="0" collapsed="false">
      <c r="A93" s="0" t="s">
        <v>98</v>
      </c>
      <c r="B93" s="0" t="n">
        <f aca="false">'Inputs 2026'!B93+'Inputs 2026'!C93*'Inputs 2026'!D93</f>
        <v>-139.83</v>
      </c>
      <c r="C93" s="0" t="n">
        <f aca="false">('Inputs 2026'!B93-'Inputs 2026'!C93)/'Inputs 2026'!D93</f>
        <v>0.345172586293147</v>
      </c>
      <c r="D93" s="0" t="n">
        <f aca="false">SUM('Inputs 2026'!B93:D93)</f>
        <v>-12.89</v>
      </c>
      <c r="E93" s="0" t="n">
        <f aca="false">AVERAGE('Inputs 2026'!B93:E93)</f>
        <v>-4.29666666666667</v>
      </c>
      <c r="F93" s="0" t="n">
        <f aca="false">MIN('Inputs 2026'!B93:E93)</f>
        <v>-19.99</v>
      </c>
      <c r="G93" s="0" t="n">
        <f aca="false">MAX('Inputs 2026'!B93:E93)</f>
        <v>7</v>
      </c>
      <c r="H93" s="0" t="n">
        <f aca="false">COUNT('Inputs 2026'!B93:E93)</f>
        <v>3</v>
      </c>
      <c r="I93" s="0" t="n">
        <f aca="false">ROUND('Inputs 2026'!B93/7,2)</f>
        <v>0.01</v>
      </c>
      <c r="J93" s="0" t="n">
        <f aca="false">ROUND('Inputs 2026'!C93*1.005,2)</f>
        <v>7.04</v>
      </c>
      <c r="K93" s="0" t="n">
        <f aca="false">ROUND('Inputs 2026'!D93*1234.5678,-2)</f>
        <v>-24700</v>
      </c>
      <c r="L93" s="0" t="n">
        <f aca="false">IF('Inputs 2026'!B93&gt;'Inputs 2026'!C93,'Inputs 2026'!B93,'Inputs 2026'!C93*2)</f>
        <v>14</v>
      </c>
      <c r="M93" s="0" t="n">
        <f aca="false">IF('Inputs 2026'!B93='Inputs 2026'!C93,1,0)</f>
        <v>0</v>
      </c>
      <c r="N93" s="0" t="n">
        <f aca="false">IF('Inputs 2026'!D93&lt;&gt;0,'Inputs 2026'!B93/'Inputs 2026'!D93,0)</f>
        <v>-0.00500250125062531</v>
      </c>
      <c r="O93" s="0" t="n">
        <f aca="false">-'Inputs 2026'!B93%*50%</f>
        <v>-0.0005</v>
      </c>
      <c r="P93" s="0" t="n">
        <f aca="false">C93*2+D93</f>
        <v>-12.1996548274137</v>
      </c>
      <c r="Q93" s="0" t="e">
        <f aca="false">SUM($C$2:C93)</f>
        <v>#DIV/0!</v>
      </c>
      <c r="R93" s="0" t="n">
        <f aca="false">$D$2+P93</f>
        <v>-10.5246548274137</v>
      </c>
      <c r="S93" s="0" t="n">
        <f aca="false">COUNT(B93:Q93)</f>
        <v>15</v>
      </c>
      <c r="T93" s="0" t="n">
        <f aca="false">IF('Inputs 2026'!E93&gt;5,1,0)</f>
        <v>1</v>
      </c>
      <c r="U93" s="0" t="n">
        <f aca="false">IF('Inputs 2026'!E93='Inputs 2026'!D93,1,0)</f>
        <v>0</v>
      </c>
      <c r="V93" s="0" t="e">
        <f aca="false">IF('Inputs 2026'!E93,1,2)</f>
        <v>#VALUE!</v>
      </c>
      <c r="W93" s="0" t="n">
        <f aca="false">IF('Inputs 2026'!B93&gt;0,IF('Inputs 2026'!C93&gt;0,1,2),3)</f>
        <v>1</v>
      </c>
      <c r="X93" s="0" t="n">
        <f aca="false">SUM('Inputs 2026'!E93,'Inputs 2026'!B93,5)</f>
        <v>5.1</v>
      </c>
      <c r="Y93" s="0" t="n">
        <f aca="false">MAX('Inputs 2026'!B93:C93,10)-MIN('Inputs 2026'!D93,'Inputs 2026'!E93)</f>
        <v>29.99</v>
      </c>
    </row>
    <row r="94" customFormat="false" ht="12.8" hidden="false" customHeight="false" outlineLevel="0" collapsed="false">
      <c r="A94" s="0" t="s">
        <v>99</v>
      </c>
      <c r="B94" s="0" t="n">
        <f aca="false">'Inputs 2026'!B94+'Inputs 2026'!C94*'Inputs 2026'!D94</f>
        <v>642.2839</v>
      </c>
      <c r="C94" s="0" t="n">
        <f aca="false">('Inputs 2026'!B94-'Inputs 2026'!C94)/'Inputs 2026'!D94</f>
        <v>0.0198450016272901</v>
      </c>
      <c r="D94" s="0" t="n">
        <f aca="false">SUM('Inputs 2026'!B94:D94)</f>
        <v>1260.0678</v>
      </c>
      <c r="E94" s="0" t="n">
        <f aca="false">AVERAGE('Inputs 2026'!B94:E94)</f>
        <v>420.0226</v>
      </c>
      <c r="F94" s="0" t="n">
        <f aca="false">MIN('Inputs 2026'!B94:E94)</f>
        <v>0.5</v>
      </c>
      <c r="G94" s="0" t="n">
        <f aca="false">MAX('Inputs 2026'!B94:E94)</f>
        <v>1234.5678</v>
      </c>
      <c r="H94" s="0" t="n">
        <f aca="false">COUNT('Inputs 2026'!B94:E94)</f>
        <v>3</v>
      </c>
      <c r="I94" s="0" t="n">
        <f aca="false">ROUND('Inputs 2026'!B94/7,2)</f>
        <v>3.57</v>
      </c>
      <c r="J94" s="0" t="n">
        <f aca="false">ROUND('Inputs 2026'!C94*1.005,2)</f>
        <v>0.5</v>
      </c>
      <c r="K94" s="0" t="n">
        <f aca="false">ROUND('Inputs 2026'!D94*1234.5678,-2)</f>
        <v>1524200</v>
      </c>
      <c r="L94" s="0" t="n">
        <f aca="false">IF('Inputs 2026'!B94&gt;'Inputs 2026'!C94,'Inputs 2026'!B94,'Inputs 2026'!C94*2)</f>
        <v>25</v>
      </c>
      <c r="M94" s="0" t="n">
        <f aca="false">IF('Inputs 2026'!B94='Inputs 2026'!C94,1,0)</f>
        <v>0</v>
      </c>
      <c r="N94" s="0" t="n">
        <f aca="false">IF('Inputs 2026'!D94&lt;&gt;0,'Inputs 2026'!B94/'Inputs 2026'!D94,0)</f>
        <v>0.0202500016605001</v>
      </c>
      <c r="O94" s="0" t="n">
        <f aca="false">-'Inputs 2026'!B94%*50%</f>
        <v>-0.125</v>
      </c>
      <c r="P94" s="0" t="n">
        <f aca="false">C94*2+D94</f>
        <v>1260.10749000325</v>
      </c>
      <c r="Q94" s="0" t="e">
        <f aca="false">SUM($C$2:C94)</f>
        <v>#DIV/0!</v>
      </c>
      <c r="R94" s="0" t="n">
        <f aca="false">$D$2+P94</f>
        <v>1261.78249000325</v>
      </c>
      <c r="S94" s="0" t="n">
        <f aca="false">COUNT(B94:Q94)</f>
        <v>15</v>
      </c>
      <c r="T94" s="0" t="n">
        <f aca="false">IF('Inputs 2026'!E94&gt;5,1,0)</f>
        <v>0</v>
      </c>
      <c r="U94" s="0" t="n">
        <f aca="false">IF('Inputs 2026'!E94='Inputs 2026'!D94,1,0)</f>
        <v>0</v>
      </c>
      <c r="V94" s="0" t="n">
        <f aca="false">IF('Inputs 2026'!E94,1,2)</f>
        <v>2</v>
      </c>
      <c r="W94" s="0" t="n">
        <f aca="false">IF('Inputs 2026'!B94&gt;0,IF('Inputs 2026'!C94&gt;0,1,2),3)</f>
        <v>1</v>
      </c>
      <c r="X94" s="0" t="n">
        <f aca="false">SUM('Inputs 2026'!E94,'Inputs 2026'!B94,5)</f>
        <v>30</v>
      </c>
      <c r="Y94" s="0" t="n">
        <f aca="false">MAX('Inputs 2026'!B94:C94,10)-MIN('Inputs 2026'!D94,'Inputs 2026'!E94)</f>
        <v>-1209.5678</v>
      </c>
    </row>
    <row r="95" customFormat="false" ht="12.8" hidden="false" customHeight="false" outlineLevel="0" collapsed="false">
      <c r="A95" s="0" t="s">
        <v>100</v>
      </c>
      <c r="B95" s="0" t="n">
        <f aca="false">'Inputs 2026'!B95+'Inputs 2026'!C95*'Inputs 2026'!D95</f>
        <v>11</v>
      </c>
      <c r="C95" s="0" t="n">
        <f aca="false">('Inputs 2026'!B95-'Inputs 2026'!C95)/'Inputs 2026'!D95</f>
        <v>16</v>
      </c>
      <c r="D95" s="0" t="n">
        <f aca="false">SUM('Inputs 2026'!B95:D95)</f>
        <v>12.5</v>
      </c>
      <c r="E95" s="0" t="n">
        <f aca="false">AVERAGE('Inputs 2026'!B95:E95)</f>
        <v>4.16666666666667</v>
      </c>
      <c r="F95" s="0" t="n">
        <f aca="false">MIN('Inputs 2026'!B95:E95)</f>
        <v>0.5</v>
      </c>
      <c r="G95" s="0" t="n">
        <f aca="false">MAX('Inputs 2026'!B95:E95)</f>
        <v>10</v>
      </c>
      <c r="H95" s="0" t="n">
        <f aca="false">COUNT('Inputs 2026'!B95:E95)</f>
        <v>3</v>
      </c>
      <c r="I95" s="0" t="n">
        <f aca="false">ROUND('Inputs 2026'!B95/7,2)</f>
        <v>1.43</v>
      </c>
      <c r="J95" s="0" t="n">
        <f aca="false">ROUND('Inputs 2026'!C95*1.005,2)</f>
        <v>2.01</v>
      </c>
      <c r="K95" s="0" t="n">
        <f aca="false">ROUND('Inputs 2026'!D95*1234.5678,-2)</f>
        <v>600</v>
      </c>
      <c r="L95" s="0" t="n">
        <f aca="false">IF('Inputs 2026'!B95&gt;'Inputs 2026'!C95,'Inputs 2026'!B95,'Inputs 2026'!C95*2)</f>
        <v>10</v>
      </c>
      <c r="M95" s="0" t="n">
        <f aca="false">IF('Inputs 2026'!B95='Inputs 2026'!C95,1,0)</f>
        <v>0</v>
      </c>
      <c r="N95" s="0" t="n">
        <f aca="false">IF('Inputs 2026'!D95&lt;&gt;0,'Inputs 2026'!B95/'Inputs 2026'!D95,0)</f>
        <v>20</v>
      </c>
      <c r="O95" s="0" t="n">
        <f aca="false">-'Inputs 2026'!B95%*50%</f>
        <v>-0.05</v>
      </c>
      <c r="P95" s="0" t="n">
        <f aca="false">C95*2+D95</f>
        <v>44.5</v>
      </c>
      <c r="Q95" s="0" t="e">
        <f aca="false">SUM($C$2:C95)</f>
        <v>#DIV/0!</v>
      </c>
      <c r="R95" s="0" t="n">
        <f aca="false">$D$2+P95</f>
        <v>46.175</v>
      </c>
      <c r="S95" s="0" t="n">
        <f aca="false">COUNT(B95:Q95)</f>
        <v>15</v>
      </c>
      <c r="T95" s="0" t="n">
        <f aca="false">IF('Inputs 2026'!E95&gt;5,1,0)</f>
        <v>0</v>
      </c>
      <c r="U95" s="0" t="n">
        <f aca="false">IF('Inputs 2026'!E95='Inputs 2026'!D95,1,0)</f>
        <v>0</v>
      </c>
      <c r="V95" s="0" t="n">
        <f aca="false">IF('Inputs 2026'!E95,1,2)</f>
        <v>2</v>
      </c>
      <c r="W95" s="0" t="n">
        <f aca="false">IF('Inputs 2026'!B95&gt;0,IF('Inputs 2026'!C95&gt;0,1,2),3)</f>
        <v>1</v>
      </c>
      <c r="X95" s="0" t="n">
        <f aca="false">SUM('Inputs 2026'!E95,'Inputs 2026'!B95,5)</f>
        <v>15</v>
      </c>
      <c r="Y95" s="0" t="n">
        <f aca="false">MAX('Inputs 2026'!B95:C95,10)-MIN('Inputs 2026'!D95,'Inputs 2026'!E95)</f>
        <v>9.5</v>
      </c>
    </row>
    <row r="96" customFormat="false" ht="12.8" hidden="false" customHeight="false" outlineLevel="0" collapsed="false">
      <c r="A96" s="0" t="s">
        <v>101</v>
      </c>
      <c r="B96" s="0" t="n">
        <f aca="false">'Inputs 2026'!B96+'Inputs 2026'!C96*'Inputs 2026'!D96</f>
        <v>766.05</v>
      </c>
      <c r="C96" s="0" t="n">
        <f aca="false">('Inputs 2026'!B96-'Inputs 2026'!C96)/'Inputs 2026'!D96</f>
        <v>109.435714285714</v>
      </c>
      <c r="D96" s="0" t="n">
        <f aca="false">SUM('Inputs 2026'!B96:D96)</f>
        <v>773.05</v>
      </c>
      <c r="E96" s="0" t="n">
        <f aca="false">AVERAGE('Inputs 2026'!B96:E96)</f>
        <v>257.683333333333</v>
      </c>
      <c r="F96" s="0" t="n">
        <f aca="false">MIN('Inputs 2026'!B96:E96)</f>
        <v>0</v>
      </c>
      <c r="G96" s="0" t="n">
        <f aca="false">MAX('Inputs 2026'!B96:E96)</f>
        <v>766.05</v>
      </c>
      <c r="H96" s="0" t="n">
        <f aca="false">COUNT('Inputs 2026'!B96:E96)</f>
        <v>3</v>
      </c>
      <c r="I96" s="0" t="n">
        <f aca="false">ROUND('Inputs 2026'!B96/7,2)</f>
        <v>109.44</v>
      </c>
      <c r="J96" s="0" t="n">
        <f aca="false">ROUND('Inputs 2026'!C96*1.005,2)</f>
        <v>0</v>
      </c>
      <c r="K96" s="0" t="n">
        <f aca="false">ROUND('Inputs 2026'!D96*1234.5678,-2)</f>
        <v>8600</v>
      </c>
      <c r="L96" s="0" t="n">
        <f aca="false">IF('Inputs 2026'!B96&gt;'Inputs 2026'!C96,'Inputs 2026'!B96,'Inputs 2026'!C96*2)</f>
        <v>766.05</v>
      </c>
      <c r="M96" s="0" t="n">
        <f aca="false">IF('Inputs 2026'!B96='Inputs 2026'!C96,1,0)</f>
        <v>0</v>
      </c>
      <c r="N96" s="0" t="n">
        <f aca="false">IF('Inputs 2026'!D96&lt;&gt;0,'Inputs 2026'!B96/'Inputs 2026'!D96,0)</f>
        <v>109.435714285714</v>
      </c>
      <c r="O96" s="0" t="n">
        <f aca="false">-'Inputs 2026'!B96%*50%</f>
        <v>-3.83025</v>
      </c>
      <c r="P96" s="0" t="n">
        <f aca="false">C96*2+D96</f>
        <v>991.921428571429</v>
      </c>
      <c r="Q96" s="0" t="e">
        <f aca="false">SUM($C$2:C96)</f>
        <v>#DIV/0!</v>
      </c>
      <c r="R96" s="0" t="n">
        <f aca="false">$D$2+P96</f>
        <v>993.596428571429</v>
      </c>
      <c r="S96" s="0" t="n">
        <f aca="false">COUNT(B96:Q96)</f>
        <v>15</v>
      </c>
      <c r="T96" s="0" t="n">
        <f aca="false">IF('Inputs 2026'!E96&gt;5,1,0)</f>
        <v>1</v>
      </c>
      <c r="U96" s="0" t="n">
        <f aca="false">IF('Inputs 2026'!E96='Inputs 2026'!D96,1,0)</f>
        <v>0</v>
      </c>
      <c r="V96" s="0" t="e">
        <f aca="false">IF('Inputs 2026'!E96,1,2)</f>
        <v>#VALUE!</v>
      </c>
      <c r="W96" s="0" t="n">
        <f aca="false">IF('Inputs 2026'!B96&gt;0,IF('Inputs 2026'!C96&gt;0,1,2),3)</f>
        <v>2</v>
      </c>
      <c r="X96" s="0" t="n">
        <f aca="false">SUM('Inputs 2026'!E96,'Inputs 2026'!B96,5)</f>
        <v>771.05</v>
      </c>
      <c r="Y96" s="0" t="n">
        <f aca="false">MAX('Inputs 2026'!B96:C96,10)-MIN('Inputs 2026'!D96,'Inputs 2026'!E96)</f>
        <v>759.05</v>
      </c>
    </row>
    <row r="97" customFormat="false" ht="12.8" hidden="false" customHeight="false" outlineLevel="0" collapsed="false">
      <c r="A97" s="0" t="s">
        <v>102</v>
      </c>
      <c r="B97" s="0" t="n">
        <f aca="false">'Inputs 2026'!B97+'Inputs 2026'!C97*'Inputs 2026'!D97</f>
        <v>100</v>
      </c>
      <c r="C97" s="0" t="n">
        <f aca="false">('Inputs 2026'!B97-'Inputs 2026'!C97)/'Inputs 2026'!D97</f>
        <v>10</v>
      </c>
      <c r="D97" s="0" t="n">
        <f aca="false">SUM('Inputs 2026'!B97:D97)</f>
        <v>110</v>
      </c>
      <c r="E97" s="0" t="n">
        <f aca="false">AVERAGE('Inputs 2026'!B97:E97)</f>
        <v>55</v>
      </c>
      <c r="F97" s="0" t="n">
        <f aca="false">MIN('Inputs 2026'!B97:E97)</f>
        <v>10</v>
      </c>
      <c r="G97" s="0" t="n">
        <f aca="false">MAX('Inputs 2026'!B97:E97)</f>
        <v>100</v>
      </c>
      <c r="H97" s="0" t="n">
        <f aca="false">COUNT('Inputs 2026'!B97:E97)</f>
        <v>2</v>
      </c>
      <c r="I97" s="0" t="n">
        <f aca="false">ROUND('Inputs 2026'!B97/7,2)</f>
        <v>14.29</v>
      </c>
      <c r="J97" s="0" t="n">
        <f aca="false">ROUND('Inputs 2026'!C97*1.005,2)</f>
        <v>0</v>
      </c>
      <c r="K97" s="0" t="n">
        <f aca="false">ROUND('Inputs 2026'!D97*1234.5678,-2)</f>
        <v>12300</v>
      </c>
      <c r="L97" s="0" t="n">
        <f aca="false">IF('Inputs 2026'!B97&gt;'Inputs 2026'!C97,'Inputs 2026'!B97,'Inputs 2026'!C97*2)</f>
        <v>100</v>
      </c>
      <c r="M97" s="0" t="n">
        <f aca="false">IF('Inputs 2026'!B97='Inputs 2026'!C97,1,0)</f>
        <v>0</v>
      </c>
      <c r="N97" s="0" t="n">
        <f aca="false">IF('Inputs 2026'!D97&lt;&gt;0,'Inputs 2026'!B97/'Inputs 2026'!D97,0)</f>
        <v>10</v>
      </c>
      <c r="O97" s="0" t="n">
        <f aca="false">-'Inputs 2026'!B97%*50%</f>
        <v>-0.5</v>
      </c>
      <c r="P97" s="0" t="n">
        <f aca="false">C97*2+D97</f>
        <v>130</v>
      </c>
      <c r="Q97" s="0" t="e">
        <f aca="false">SUM($C$2:C97)</f>
        <v>#DIV/0!</v>
      </c>
      <c r="R97" s="0" t="n">
        <f aca="false">$D$2+P97</f>
        <v>131.675</v>
      </c>
      <c r="S97" s="0" t="n">
        <f aca="false">COUNT(B97:Q97)</f>
        <v>15</v>
      </c>
      <c r="T97" s="0" t="n">
        <f aca="false">IF('Inputs 2026'!E97&gt;5,1,0)</f>
        <v>0</v>
      </c>
      <c r="U97" s="0" t="n">
        <f aca="false">IF('Inputs 2026'!E97='Inputs 2026'!D97,1,0)</f>
        <v>0</v>
      </c>
      <c r="V97" s="0" t="n">
        <f aca="false">IF('Inputs 2026'!E97,1,2)</f>
        <v>2</v>
      </c>
      <c r="W97" s="0" t="n">
        <f aca="false">IF('Inputs 2026'!B97&gt;0,IF('Inputs 2026'!C97&gt;0,1,2),3)</f>
        <v>2</v>
      </c>
      <c r="X97" s="0" t="n">
        <f aca="false">SUM('Inputs 2026'!E97,'Inputs 2026'!B97,5)</f>
        <v>105</v>
      </c>
      <c r="Y97" s="0" t="n">
        <f aca="false">MAX('Inputs 2026'!B97:C97,10)-MIN('Inputs 2026'!D97,'Inputs 2026'!E97)</f>
        <v>90</v>
      </c>
    </row>
    <row r="98" customFormat="false" ht="12.8" hidden="false" customHeight="false" outlineLevel="0" collapsed="false">
      <c r="A98" s="0" t="s">
        <v>103</v>
      </c>
      <c r="B98" s="0" t="n">
        <f aca="false">'Inputs 2026'!B98+'Inputs 2026'!C98*'Inputs 2026'!D98</f>
        <v>0.35125</v>
      </c>
      <c r="C98" s="0" t="n">
        <f aca="false">('Inputs 2026'!B98-'Inputs 2026'!C98)/'Inputs 2026'!D98</f>
        <v>-3.62</v>
      </c>
      <c r="D98" s="0" t="n">
        <f aca="false">SUM('Inputs 2026'!B98:D98)</f>
        <v>1.355</v>
      </c>
      <c r="E98" s="0" t="n">
        <f aca="false">AVERAGE('Inputs 2026'!B98:E98)</f>
        <v>0.451666666666667</v>
      </c>
      <c r="F98" s="0" t="n">
        <f aca="false">MIN('Inputs 2026'!B98:E98)</f>
        <v>0.1</v>
      </c>
      <c r="G98" s="0" t="n">
        <f aca="false">MAX('Inputs 2026'!B98:E98)</f>
        <v>1.005</v>
      </c>
      <c r="H98" s="0" t="n">
        <f aca="false">COUNT('Inputs 2026'!B98:E98)</f>
        <v>3</v>
      </c>
      <c r="I98" s="0" t="n">
        <f aca="false">ROUND('Inputs 2026'!B98/7,2)</f>
        <v>0.01</v>
      </c>
      <c r="J98" s="0" t="n">
        <f aca="false">ROUND('Inputs 2026'!C98*1.005,2)</f>
        <v>1.01</v>
      </c>
      <c r="K98" s="0" t="n">
        <f aca="false">ROUND('Inputs 2026'!D98*1234.5678,-2)</f>
        <v>300</v>
      </c>
      <c r="L98" s="0" t="n">
        <f aca="false">IF('Inputs 2026'!B98&gt;'Inputs 2026'!C98,'Inputs 2026'!B98,'Inputs 2026'!C98*2)</f>
        <v>2.01</v>
      </c>
      <c r="M98" s="0" t="n">
        <f aca="false">IF('Inputs 2026'!B98='Inputs 2026'!C98,1,0)</f>
        <v>0</v>
      </c>
      <c r="N98" s="0" t="n">
        <f aca="false">IF('Inputs 2026'!D98&lt;&gt;0,'Inputs 2026'!B98/'Inputs 2026'!D98,0)</f>
        <v>0.4</v>
      </c>
      <c r="O98" s="0" t="n">
        <f aca="false">-'Inputs 2026'!B98%*50%</f>
        <v>-0.0005</v>
      </c>
      <c r="P98" s="0" t="n">
        <f aca="false">C98*2+D98</f>
        <v>-5.885</v>
      </c>
      <c r="Q98" s="0" t="e">
        <f aca="false">SUM($C$2:C98)</f>
        <v>#DIV/0!</v>
      </c>
      <c r="R98" s="0" t="n">
        <f aca="false">$D$2+P98</f>
        <v>-4.21</v>
      </c>
      <c r="S98" s="0" t="n">
        <f aca="false">COUNT(B98:Q98)</f>
        <v>15</v>
      </c>
      <c r="T98" s="0" t="n">
        <f aca="false">IF('Inputs 2026'!E98&gt;5,1,0)</f>
        <v>0</v>
      </c>
      <c r="U98" s="0" t="n">
        <f aca="false">IF('Inputs 2026'!E98='Inputs 2026'!D98,1,0)</f>
        <v>0</v>
      </c>
      <c r="V98" s="0" t="n">
        <f aca="false">IF('Inputs 2026'!E98,1,2)</f>
        <v>2</v>
      </c>
      <c r="W98" s="0" t="n">
        <f aca="false">IF('Inputs 2026'!B98&gt;0,IF('Inputs 2026'!C98&gt;0,1,2),3)</f>
        <v>1</v>
      </c>
      <c r="X98" s="0" t="n">
        <f aca="false">SUM('Inputs 2026'!E98,'Inputs 2026'!B98,5)</f>
        <v>5.1</v>
      </c>
      <c r="Y98" s="0" t="n">
        <f aca="false">MAX('Inputs 2026'!B98:C98,10)-MIN('Inputs 2026'!D98,'Inputs 2026'!E98)</f>
        <v>9.75</v>
      </c>
    </row>
    <row r="99" customFormat="false" ht="12.8" hidden="false" customHeight="false" outlineLevel="0" collapsed="false">
      <c r="A99" s="0" t="s">
        <v>104</v>
      </c>
      <c r="B99" s="0" t="n">
        <f aca="false">'Inputs 2026'!B99+'Inputs 2026'!C99*'Inputs 2026'!D99</f>
        <v>15</v>
      </c>
      <c r="C99" s="0" t="n">
        <f aca="false">('Inputs 2026'!B99-'Inputs 2026'!C99)/'Inputs 2026'!D99</f>
        <v>-3</v>
      </c>
      <c r="D99" s="0" t="n">
        <f aca="false">SUM('Inputs 2026'!B99:D99)</f>
        <v>10</v>
      </c>
      <c r="E99" s="0" t="n">
        <f aca="false">AVERAGE('Inputs 2026'!B99:E99)</f>
        <v>3.33333333333333</v>
      </c>
      <c r="F99" s="0" t="n">
        <f aca="false">MIN('Inputs 2026'!B99:E99)</f>
        <v>1</v>
      </c>
      <c r="G99" s="0" t="n">
        <f aca="false">MAX('Inputs 2026'!B99:E99)</f>
        <v>7</v>
      </c>
      <c r="H99" s="0" t="n">
        <f aca="false">COUNT('Inputs 2026'!B99:E99)</f>
        <v>3</v>
      </c>
      <c r="I99" s="0" t="n">
        <f aca="false">ROUND('Inputs 2026'!B99/7,2)</f>
        <v>0.14</v>
      </c>
      <c r="J99" s="0" t="n">
        <f aca="false">ROUND('Inputs 2026'!C99*1.005,2)</f>
        <v>7.04</v>
      </c>
      <c r="K99" s="0" t="n">
        <f aca="false">ROUND('Inputs 2026'!D99*1234.5678,-2)</f>
        <v>2500</v>
      </c>
      <c r="L99" s="0" t="n">
        <f aca="false">IF('Inputs 2026'!B99&gt;'Inputs 2026'!C99,'Inputs 2026'!B99,'Inputs 2026'!C99*2)</f>
        <v>14</v>
      </c>
      <c r="M99" s="0" t="n">
        <f aca="false">IF('Inputs 2026'!B99='Inputs 2026'!C99,1,0)</f>
        <v>0</v>
      </c>
      <c r="N99" s="0" t="n">
        <f aca="false">IF('Inputs 2026'!D99&lt;&gt;0,'Inputs 2026'!B99/'Inputs 2026'!D99,0)</f>
        <v>0.5</v>
      </c>
      <c r="O99" s="0" t="n">
        <f aca="false">-'Inputs 2026'!B99%*50%</f>
        <v>-0.005</v>
      </c>
      <c r="P99" s="0" t="n">
        <f aca="false">C99*2+D99</f>
        <v>4</v>
      </c>
      <c r="Q99" s="0" t="e">
        <f aca="false">SUM($C$2:C99)</f>
        <v>#DIV/0!</v>
      </c>
      <c r="R99" s="0" t="n">
        <f aca="false">$D$2+P99</f>
        <v>5.675</v>
      </c>
      <c r="S99" s="0" t="n">
        <f aca="false">COUNT(B99:Q99)</f>
        <v>15</v>
      </c>
      <c r="T99" s="0" t="n">
        <f aca="false">IF('Inputs 2026'!E99&gt;5,1,0)</f>
        <v>1</v>
      </c>
      <c r="U99" s="0" t="n">
        <f aca="false">IF('Inputs 2026'!E99='Inputs 2026'!D99,1,0)</f>
        <v>0</v>
      </c>
      <c r="V99" s="0" t="e">
        <f aca="false">IF('Inputs 2026'!E99,1,2)</f>
        <v>#VALUE!</v>
      </c>
      <c r="W99" s="0" t="n">
        <f aca="false">IF('Inputs 2026'!B99&gt;0,IF('Inputs 2026'!C99&gt;0,1,2),3)</f>
        <v>1</v>
      </c>
      <c r="X99" s="0" t="n">
        <f aca="false">SUM('Inputs 2026'!E99,'Inputs 2026'!B99,5)</f>
        <v>6</v>
      </c>
      <c r="Y99" s="0" t="n">
        <f aca="false">MAX('Inputs 2026'!B99:C99,10)-MIN('Inputs 2026'!D99,'Inputs 2026'!E99)</f>
        <v>8</v>
      </c>
    </row>
    <row r="100" customFormat="false" ht="12.8" hidden="false" customHeight="false" outlineLevel="0" collapsed="false">
      <c r="A100" s="0" t="s">
        <v>105</v>
      </c>
      <c r="B100" s="0" t="n">
        <f aca="false">'Inputs 2026'!B100+'Inputs 2026'!C100*'Inputs 2026'!D100</f>
        <v>1001.005</v>
      </c>
      <c r="C100" s="0" t="n">
        <f aca="false">('Inputs 2026'!B100-'Inputs 2026'!C100)/'Inputs 2026'!D100</f>
        <v>-9.8995</v>
      </c>
      <c r="D100" s="0" t="n">
        <f aca="false">SUM('Inputs 2026'!B100:D100)</f>
        <v>111.005</v>
      </c>
      <c r="E100" s="0" t="n">
        <f aca="false">AVERAGE('Inputs 2026'!B100:E100)</f>
        <v>37.0016666666667</v>
      </c>
      <c r="F100" s="0" t="n">
        <f aca="false">MIN('Inputs 2026'!B100:E100)</f>
        <v>1.005</v>
      </c>
      <c r="G100" s="0" t="n">
        <f aca="false">MAX('Inputs 2026'!B100:E100)</f>
        <v>100</v>
      </c>
      <c r="H100" s="0" t="n">
        <f aca="false">COUNT('Inputs 2026'!B100:E100)</f>
        <v>3</v>
      </c>
      <c r="I100" s="0" t="n">
        <f aca="false">ROUND('Inputs 2026'!B100/7,2)</f>
        <v>0.14</v>
      </c>
      <c r="J100" s="0" t="n">
        <f aca="false">ROUND('Inputs 2026'!C100*1.005,2)</f>
        <v>100.5</v>
      </c>
      <c r="K100" s="0" t="n">
        <f aca="false">ROUND('Inputs 2026'!D100*1234.5678,-2)</f>
        <v>12300</v>
      </c>
      <c r="L100" s="0" t="n">
        <f aca="false">IF('Inputs 2026'!B100&gt;'Inputs 2026'!C100,'Inputs 2026'!B100,'Inputs 2026'!C100*2)</f>
        <v>200</v>
      </c>
      <c r="M100" s="0" t="n">
        <f aca="false">IF('Inputs 2026'!B100='Inputs 2026'!C100,1,0)</f>
        <v>0</v>
      </c>
      <c r="N100" s="0" t="n">
        <f aca="false">IF('Inputs 2026'!D100&lt;&gt;0,'Inputs 2026'!B100/'Inputs 2026'!D100,0)</f>
        <v>0.1005</v>
      </c>
      <c r="O100" s="0" t="n">
        <f aca="false">-'Inputs 2026'!B100%*50%</f>
        <v>-0.005025</v>
      </c>
      <c r="P100" s="0" t="n">
        <f aca="false">C100*2+D100</f>
        <v>91.206</v>
      </c>
      <c r="Q100" s="0" t="e">
        <f aca="false">SUM($C$2:C100)</f>
        <v>#DIV/0!</v>
      </c>
      <c r="R100" s="0" t="n">
        <f aca="false">$D$2+P100</f>
        <v>92.881</v>
      </c>
      <c r="S100" s="0" t="n">
        <f aca="false">COUNT(B100:Q100)</f>
        <v>15</v>
      </c>
      <c r="T100" s="0" t="n">
        <f aca="false">IF('Inputs 2026'!E100&gt;5,1,0)</f>
        <v>0</v>
      </c>
      <c r="U100" s="0" t="n">
        <f aca="false">IF('Inputs 2026'!E100='Inputs 2026'!D100,1,0)</f>
        <v>0</v>
      </c>
      <c r="V100" s="0" t="n">
        <f aca="false">IF('Inputs 2026'!E100,1,2)</f>
        <v>2</v>
      </c>
      <c r="W100" s="0" t="n">
        <f aca="false">IF('Inputs 2026'!B100&gt;0,IF('Inputs 2026'!C100&gt;0,1,2),3)</f>
        <v>1</v>
      </c>
      <c r="X100" s="0" t="n">
        <f aca="false">SUM('Inputs 2026'!E100,'Inputs 2026'!B100,5)</f>
        <v>6.005</v>
      </c>
      <c r="Y100" s="0" t="n">
        <f aca="false">MAX('Inputs 2026'!B100:C100,10)-MIN('Inputs 2026'!D100,'Inputs 2026'!E100)</f>
        <v>90</v>
      </c>
    </row>
    <row r="101" customFormat="false" ht="12.8" hidden="false" customHeight="false" outlineLevel="0" collapsed="false">
      <c r="A101" s="0" t="s">
        <v>106</v>
      </c>
      <c r="B101" s="0" t="n">
        <f aca="false">'Inputs 2026'!B101+'Inputs 2026'!C101*'Inputs 2026'!D101</f>
        <v>313.96</v>
      </c>
      <c r="C101" s="0" t="n">
        <f aca="false">('Inputs 2026'!B101-'Inputs 2026'!C101)/'Inputs 2026'!D101</f>
        <v>-6.9604</v>
      </c>
      <c r="D101" s="0" t="n">
        <f aca="false">SUM('Inputs 2026'!B101:D101)</f>
        <v>-576.04</v>
      </c>
      <c r="E101" s="0" t="n">
        <f aca="false">AVERAGE('Inputs 2026'!B101:E101)</f>
        <v>-192.013333333333</v>
      </c>
      <c r="F101" s="0" t="n">
        <f aca="false">MIN('Inputs 2026'!B101:E101)</f>
        <v>-686.04</v>
      </c>
      <c r="G101" s="0" t="n">
        <f aca="false">MAX('Inputs 2026'!B101:E101)</f>
        <v>100</v>
      </c>
      <c r="H101" s="0" t="n">
        <f aca="false">COUNT('Inputs 2026'!B101:E101)</f>
        <v>3</v>
      </c>
      <c r="I101" s="0" t="n">
        <f aca="false">ROUND('Inputs 2026'!B101/7,2)</f>
        <v>-98.01</v>
      </c>
      <c r="J101" s="0" t="n">
        <f aca="false">ROUND('Inputs 2026'!C101*1.005,2)</f>
        <v>10.05</v>
      </c>
      <c r="K101" s="0" t="n">
        <f aca="false">ROUND('Inputs 2026'!D101*1234.5678,-2)</f>
        <v>123500</v>
      </c>
      <c r="L101" s="0" t="n">
        <f aca="false">IF('Inputs 2026'!B101&gt;'Inputs 2026'!C101,'Inputs 2026'!B101,'Inputs 2026'!C101*2)</f>
        <v>20</v>
      </c>
      <c r="M101" s="0" t="n">
        <f aca="false">IF('Inputs 2026'!B101='Inputs 2026'!C101,1,0)</f>
        <v>0</v>
      </c>
      <c r="N101" s="0" t="n">
        <f aca="false">IF('Inputs 2026'!D101&lt;&gt;0,'Inputs 2026'!B101/'Inputs 2026'!D101,0)</f>
        <v>-6.8604</v>
      </c>
      <c r="O101" s="0" t="n">
        <f aca="false">-'Inputs 2026'!B101%*50%</f>
        <v>3.4302</v>
      </c>
      <c r="P101" s="0" t="n">
        <f aca="false">C101*2+D101</f>
        <v>-589.9608</v>
      </c>
      <c r="Q101" s="0" t="e">
        <f aca="false">SUM($C$2:C101)</f>
        <v>#DIV/0!</v>
      </c>
      <c r="R101" s="0" t="n">
        <f aca="false">$D$2+P101</f>
        <v>-588.2858</v>
      </c>
      <c r="S101" s="0" t="n">
        <f aca="false">COUNT(B101:Q101)</f>
        <v>15</v>
      </c>
      <c r="T101" s="0" t="n">
        <f aca="false">IF('Inputs 2026'!E101&gt;5,1,0)</f>
        <v>0</v>
      </c>
      <c r="U101" s="0" t="n">
        <f aca="false">IF('Inputs 2026'!E101='Inputs 2026'!D101,1,0)</f>
        <v>0</v>
      </c>
      <c r="V101" s="0" t="n">
        <f aca="false">IF('Inputs 2026'!E101,1,2)</f>
        <v>2</v>
      </c>
      <c r="W101" s="0" t="n">
        <f aca="false">IF('Inputs 2026'!B101&gt;0,IF('Inputs 2026'!C101&gt;0,1,2),3)</f>
        <v>3</v>
      </c>
      <c r="X101" s="0" t="n">
        <f aca="false">SUM('Inputs 2026'!E101,'Inputs 2026'!B101,5)</f>
        <v>-681.04</v>
      </c>
      <c r="Y101" s="0" t="n">
        <f aca="false">MAX('Inputs 2026'!B101:C101,10)-MIN('Inputs 2026'!D101,'Inputs 2026'!E101)</f>
        <v>-90</v>
      </c>
    </row>
    <row r="102" customFormat="false" ht="12.8" hidden="false" customHeight="false" outlineLevel="0" collapsed="false">
      <c r="A102" s="0" t="s">
        <v>107</v>
      </c>
      <c r="B102" s="0" t="n">
        <f aca="false">'Inputs 2026'!B102+'Inputs 2026'!C102*'Inputs 2026'!D102</f>
        <v>800</v>
      </c>
      <c r="C102" s="0" t="n">
        <f aca="false">('Inputs 2026'!B102-'Inputs 2026'!C102)/'Inputs 2026'!D102</f>
        <v>0</v>
      </c>
      <c r="D102" s="0" t="n">
        <f aca="false">SUM('Inputs 2026'!B102:D102)</f>
        <v>207</v>
      </c>
      <c r="E102" s="0" t="n">
        <f aca="false">AVERAGE('Inputs 2026'!B102:E102)</f>
        <v>69</v>
      </c>
      <c r="F102" s="0" t="n">
        <f aca="false">MIN('Inputs 2026'!B102:E102)</f>
        <v>7</v>
      </c>
      <c r="G102" s="0" t="n">
        <f aca="false">MAX('Inputs 2026'!B102:E102)</f>
        <v>100</v>
      </c>
      <c r="H102" s="0" t="n">
        <f aca="false">COUNT('Inputs 2026'!B102:E102)</f>
        <v>3</v>
      </c>
      <c r="I102" s="0" t="n">
        <f aca="false">ROUND('Inputs 2026'!B102/7,2)</f>
        <v>14.29</v>
      </c>
      <c r="J102" s="0" t="n">
        <f aca="false">ROUND('Inputs 2026'!C102*1.005,2)</f>
        <v>100.5</v>
      </c>
      <c r="K102" s="0" t="n">
        <f aca="false">ROUND('Inputs 2026'!D102*1234.5678,-2)</f>
        <v>8600</v>
      </c>
      <c r="L102" s="0" t="n">
        <f aca="false">IF('Inputs 2026'!B102&gt;'Inputs 2026'!C102,'Inputs 2026'!B102,'Inputs 2026'!C102*2)</f>
        <v>200</v>
      </c>
      <c r="M102" s="0" t="n">
        <f aca="false">IF('Inputs 2026'!B102='Inputs 2026'!C102,1,0)</f>
        <v>1</v>
      </c>
      <c r="N102" s="0" t="n">
        <f aca="false">IF('Inputs 2026'!D102&lt;&gt;0,'Inputs 2026'!B102/'Inputs 2026'!D102,0)</f>
        <v>14.2857142857143</v>
      </c>
      <c r="O102" s="0" t="n">
        <f aca="false">-'Inputs 2026'!B102%*50%</f>
        <v>-0.5</v>
      </c>
      <c r="P102" s="0" t="n">
        <f aca="false">C102*2+D102</f>
        <v>207</v>
      </c>
      <c r="Q102" s="0" t="e">
        <f aca="false">SUM($C$2:C102)</f>
        <v>#DIV/0!</v>
      </c>
      <c r="R102" s="0" t="n">
        <f aca="false">$D$2+P102</f>
        <v>208.675</v>
      </c>
      <c r="S102" s="0" t="n">
        <f aca="false">COUNT(B102:Q102)</f>
        <v>15</v>
      </c>
      <c r="T102" s="0" t="n">
        <f aca="false">IF('Inputs 2026'!E102&gt;5,1,0)</f>
        <v>0</v>
      </c>
      <c r="U102" s="0" t="n">
        <f aca="false">IF('Inputs 2026'!E102='Inputs 2026'!D102,1,0)</f>
        <v>0</v>
      </c>
      <c r="V102" s="0" t="n">
        <f aca="false">IF('Inputs 2026'!E102,1,2)</f>
        <v>2</v>
      </c>
      <c r="W102" s="0" t="n">
        <f aca="false">IF('Inputs 2026'!B102&gt;0,IF('Inputs 2026'!C102&gt;0,1,2),3)</f>
        <v>1</v>
      </c>
      <c r="X102" s="0" t="n">
        <f aca="false">SUM('Inputs 2026'!E102,'Inputs 2026'!B102,5)</f>
        <v>105</v>
      </c>
      <c r="Y102" s="0" t="n">
        <f aca="false">MAX('Inputs 2026'!B102:C102,10)-MIN('Inputs 2026'!D102,'Inputs 2026'!E102)</f>
        <v>93</v>
      </c>
    </row>
    <row r="103" customFormat="false" ht="12.8" hidden="false" customHeight="false" outlineLevel="0" collapsed="false">
      <c r="A103" s="0" t="s">
        <v>108</v>
      </c>
      <c r="B103" s="0" t="n">
        <f aca="false">'Inputs 2026'!B103+'Inputs 2026'!C103*'Inputs 2026'!D103</f>
        <v>12.35</v>
      </c>
      <c r="C103" s="0" t="n">
        <f aca="false">('Inputs 2026'!B103-'Inputs 2026'!C103)/'Inputs 2026'!D103</f>
        <v>1.86915887850467</v>
      </c>
      <c r="D103" s="0" t="n">
        <f aca="false">SUM('Inputs 2026'!B103:D103)</f>
        <v>11.675</v>
      </c>
      <c r="E103" s="0" t="n">
        <f aca="false">AVERAGE('Inputs 2026'!B103:E103)</f>
        <v>3.89166666666667</v>
      </c>
      <c r="F103" s="0" t="n">
        <f aca="false">MIN('Inputs 2026'!B103:E103)</f>
        <v>2</v>
      </c>
      <c r="G103" s="0" t="n">
        <f aca="false">MAX('Inputs 2026'!B103:E103)</f>
        <v>7</v>
      </c>
      <c r="H103" s="0" t="n">
        <f aca="false">COUNT('Inputs 2026'!B103:E103)</f>
        <v>3</v>
      </c>
      <c r="I103" s="0" t="n">
        <f aca="false">ROUND('Inputs 2026'!B103/7,2)</f>
        <v>1</v>
      </c>
      <c r="J103" s="0" t="n">
        <f aca="false">ROUND('Inputs 2026'!C103*1.005,2)</f>
        <v>2.01</v>
      </c>
      <c r="K103" s="0" t="n">
        <f aca="false">ROUND('Inputs 2026'!D103*1234.5678,-2)</f>
        <v>3300</v>
      </c>
      <c r="L103" s="0" t="n">
        <f aca="false">IF('Inputs 2026'!B103&gt;'Inputs 2026'!C103,'Inputs 2026'!B103,'Inputs 2026'!C103*2)</f>
        <v>7</v>
      </c>
      <c r="M103" s="0" t="n">
        <f aca="false">IF('Inputs 2026'!B103='Inputs 2026'!C103,1,0)</f>
        <v>0</v>
      </c>
      <c r="N103" s="0" t="n">
        <f aca="false">IF('Inputs 2026'!D103&lt;&gt;0,'Inputs 2026'!B103/'Inputs 2026'!D103,0)</f>
        <v>2.61682242990654</v>
      </c>
      <c r="O103" s="0" t="n">
        <f aca="false">-'Inputs 2026'!B103%*50%</f>
        <v>-0.035</v>
      </c>
      <c r="P103" s="0" t="n">
        <f aca="false">C103*2+D103</f>
        <v>15.4133177570093</v>
      </c>
      <c r="Q103" s="0" t="e">
        <f aca="false">SUM($C$2:C103)</f>
        <v>#DIV/0!</v>
      </c>
      <c r="R103" s="0" t="n">
        <f aca="false">$D$2+P103</f>
        <v>17.0883177570093</v>
      </c>
      <c r="S103" s="0" t="n">
        <f aca="false">COUNT(B103:Q103)</f>
        <v>15</v>
      </c>
      <c r="T103" s="0" t="n">
        <f aca="false">IF('Inputs 2026'!E103&gt;5,1,0)</f>
        <v>0</v>
      </c>
      <c r="U103" s="0" t="n">
        <f aca="false">IF('Inputs 2026'!E103='Inputs 2026'!D103,1,0)</f>
        <v>0</v>
      </c>
      <c r="V103" s="0" t="n">
        <f aca="false">IF('Inputs 2026'!E103,1,2)</f>
        <v>2</v>
      </c>
      <c r="W103" s="0" t="n">
        <f aca="false">IF('Inputs 2026'!B103&gt;0,IF('Inputs 2026'!C103&gt;0,1,2),3)</f>
        <v>1</v>
      </c>
      <c r="X103" s="0" t="n">
        <f aca="false">SUM('Inputs 2026'!E103,'Inputs 2026'!B103,5)</f>
        <v>12</v>
      </c>
      <c r="Y103" s="0" t="n">
        <f aca="false">MAX('Inputs 2026'!B103:C103,10)-MIN('Inputs 2026'!D103,'Inputs 2026'!E103)</f>
        <v>7.325</v>
      </c>
    </row>
    <row r="104" customFormat="false" ht="12.8" hidden="false" customHeight="false" outlineLevel="0" collapsed="false">
      <c r="A104" s="0" t="s">
        <v>109</v>
      </c>
      <c r="B104" s="0" t="n">
        <f aca="false">'Inputs 2026'!B104+'Inputs 2026'!C104*'Inputs 2026'!D104</f>
        <v>344.3</v>
      </c>
      <c r="C104" s="0" t="n">
        <f aca="false">('Inputs 2026'!B104-'Inputs 2026'!C104)/'Inputs 2026'!D104</f>
        <v>-344.3</v>
      </c>
      <c r="D104" s="0" t="n">
        <f aca="false">SUM('Inputs 2026'!B104:D104)</f>
        <v>-339.3</v>
      </c>
      <c r="E104" s="0" t="n">
        <f aca="false">AVERAGE('Inputs 2026'!B104:E104)</f>
        <v>-113.1</v>
      </c>
      <c r="F104" s="0" t="n">
        <f aca="false">MIN('Inputs 2026'!B104:E104)</f>
        <v>-341.3</v>
      </c>
      <c r="G104" s="0" t="n">
        <f aca="false">MAX('Inputs 2026'!B104:E104)</f>
        <v>3</v>
      </c>
      <c r="H104" s="0" t="n">
        <f aca="false">COUNT('Inputs 2026'!B104:E104)</f>
        <v>3</v>
      </c>
      <c r="I104" s="0" t="n">
        <f aca="false">ROUND('Inputs 2026'!B104/7,2)</f>
        <v>0.43</v>
      </c>
      <c r="J104" s="0" t="n">
        <f aca="false">ROUND('Inputs 2026'!C104*1.005,2)</f>
        <v>-343.01</v>
      </c>
      <c r="K104" s="0" t="n">
        <f aca="false">ROUND('Inputs 2026'!D104*1234.5678,-2)</f>
        <v>-1200</v>
      </c>
      <c r="L104" s="0" t="n">
        <f aca="false">IF('Inputs 2026'!B104&gt;'Inputs 2026'!C104,'Inputs 2026'!B104,'Inputs 2026'!C104*2)</f>
        <v>3</v>
      </c>
      <c r="M104" s="0" t="n">
        <f aca="false">IF('Inputs 2026'!B104='Inputs 2026'!C104,1,0)</f>
        <v>0</v>
      </c>
      <c r="N104" s="0" t="n">
        <f aca="false">IF('Inputs 2026'!D104&lt;&gt;0,'Inputs 2026'!B104/'Inputs 2026'!D104,0)</f>
        <v>-3</v>
      </c>
      <c r="O104" s="0" t="n">
        <f aca="false">-'Inputs 2026'!B104%*50%</f>
        <v>-0.015</v>
      </c>
      <c r="P104" s="0" t="n">
        <f aca="false">C104*2+D104</f>
        <v>-1027.9</v>
      </c>
      <c r="Q104" s="0" t="e">
        <f aca="false">SUM($C$2:C104)</f>
        <v>#DIV/0!</v>
      </c>
      <c r="R104" s="0" t="n">
        <f aca="false">$D$2+P104</f>
        <v>-1026.225</v>
      </c>
      <c r="S104" s="0" t="n">
        <f aca="false">COUNT(B104:Q104)</f>
        <v>15</v>
      </c>
      <c r="T104" s="0" t="n">
        <f aca="false">IF('Inputs 2026'!E104&gt;5,1,0)</f>
        <v>0</v>
      </c>
      <c r="U104" s="0" t="n">
        <f aca="false">IF('Inputs 2026'!E104='Inputs 2026'!D104,1,0)</f>
        <v>0</v>
      </c>
      <c r="V104" s="0" t="n">
        <f aca="false">IF('Inputs 2026'!E104,1,2)</f>
        <v>2</v>
      </c>
      <c r="W104" s="0" t="n">
        <f aca="false">IF('Inputs 2026'!B104&gt;0,IF('Inputs 2026'!C104&gt;0,1,2),3)</f>
        <v>2</v>
      </c>
      <c r="X104" s="0" t="n">
        <f aca="false">SUM('Inputs 2026'!E104,'Inputs 2026'!B104,5)</f>
        <v>8</v>
      </c>
      <c r="Y104" s="0" t="n">
        <f aca="false">MAX('Inputs 2026'!B104:C104,10)-MIN('Inputs 2026'!D104,'Inputs 2026'!E104)</f>
        <v>11</v>
      </c>
    </row>
    <row r="105" customFormat="false" ht="12.8" hidden="false" customHeight="false" outlineLevel="0" collapsed="false">
      <c r="A105" s="0" t="s">
        <v>110</v>
      </c>
      <c r="B105" s="0" t="n">
        <f aca="false">'Inputs 2026'!B105+'Inputs 2026'!C105*'Inputs 2026'!D105</f>
        <v>-728.19</v>
      </c>
      <c r="C105" s="0" t="n">
        <f aca="false">('Inputs 2026'!B105-'Inputs 2026'!C105)/'Inputs 2026'!D105</f>
        <v>-5.85801470588235</v>
      </c>
      <c r="D105" s="0" t="n">
        <f aca="false">SUM('Inputs 2026'!B105:D105)</f>
        <v>-659.69</v>
      </c>
      <c r="E105" s="0" t="n">
        <f aca="false">AVERAGE('Inputs 2026'!B105:E105)</f>
        <v>-219.896666666667</v>
      </c>
      <c r="F105" s="0" t="n">
        <f aca="false">MIN('Inputs 2026'!B105:E105)</f>
        <v>-796.19</v>
      </c>
      <c r="G105" s="0" t="n">
        <f aca="false">MAX('Inputs 2026'!B105:E105)</f>
        <v>136</v>
      </c>
      <c r="H105" s="0" t="n">
        <f aca="false">COUNT('Inputs 2026'!B105:E105)</f>
        <v>3</v>
      </c>
      <c r="I105" s="0" t="n">
        <f aca="false">ROUND('Inputs 2026'!B105/7,2)</f>
        <v>-113.74</v>
      </c>
      <c r="J105" s="0" t="n">
        <f aca="false">ROUND('Inputs 2026'!C105*1.005,2)</f>
        <v>0.5</v>
      </c>
      <c r="K105" s="0" t="n">
        <f aca="false">ROUND('Inputs 2026'!D105*1234.5678,-2)</f>
        <v>167900</v>
      </c>
      <c r="L105" s="0" t="n">
        <f aca="false">IF('Inputs 2026'!B105&gt;'Inputs 2026'!C105,'Inputs 2026'!B105,'Inputs 2026'!C105*2)</f>
        <v>1</v>
      </c>
      <c r="M105" s="0" t="n">
        <f aca="false">IF('Inputs 2026'!B105='Inputs 2026'!C105,1,0)</f>
        <v>0</v>
      </c>
      <c r="N105" s="0" t="n">
        <f aca="false">IF('Inputs 2026'!D105&lt;&gt;0,'Inputs 2026'!B105/'Inputs 2026'!D105,0)</f>
        <v>-5.85433823529412</v>
      </c>
      <c r="O105" s="0" t="n">
        <f aca="false">-'Inputs 2026'!B105%*50%</f>
        <v>3.98095</v>
      </c>
      <c r="P105" s="0" t="n">
        <f aca="false">C105*2+D105</f>
        <v>-671.406029411765</v>
      </c>
      <c r="Q105" s="0" t="e">
        <f aca="false">SUM($C$2:C105)</f>
        <v>#DIV/0!</v>
      </c>
      <c r="R105" s="0" t="n">
        <f aca="false">$D$2+P105</f>
        <v>-669.731029411765</v>
      </c>
      <c r="S105" s="0" t="n">
        <f aca="false">COUNT(B105:Q105)</f>
        <v>15</v>
      </c>
      <c r="T105" s="0" t="n">
        <f aca="false">IF('Inputs 2026'!E105&gt;5,1,0)</f>
        <v>1</v>
      </c>
      <c r="U105" s="0" t="n">
        <f aca="false">IF('Inputs 2026'!E105='Inputs 2026'!D105,1,0)</f>
        <v>0</v>
      </c>
      <c r="V105" s="0" t="e">
        <f aca="false">IF('Inputs 2026'!E105,1,2)</f>
        <v>#VALUE!</v>
      </c>
      <c r="W105" s="0" t="n">
        <f aca="false">IF('Inputs 2026'!B105&gt;0,IF('Inputs 2026'!C105&gt;0,1,2),3)</f>
        <v>3</v>
      </c>
      <c r="X105" s="0" t="n">
        <f aca="false">SUM('Inputs 2026'!E105,'Inputs 2026'!B105,5)</f>
        <v>-791.19</v>
      </c>
      <c r="Y105" s="0" t="n">
        <f aca="false">MAX('Inputs 2026'!B105:C105,10)-MIN('Inputs 2026'!D105,'Inputs 2026'!E105)</f>
        <v>-126</v>
      </c>
    </row>
    <row r="106" customFormat="false" ht="12.8" hidden="false" customHeight="false" outlineLevel="0" collapsed="false">
      <c r="A106" s="0" t="s">
        <v>111</v>
      </c>
      <c r="B106" s="0" t="n">
        <f aca="false">'Inputs 2026'!B106+'Inputs 2026'!C106*'Inputs 2026'!D106</f>
        <v>359</v>
      </c>
      <c r="C106" s="0" t="n">
        <f aca="false">('Inputs 2026'!B106-'Inputs 2026'!C106)/'Inputs 2026'!D106</f>
        <v>345</v>
      </c>
      <c r="D106" s="0" t="n">
        <f aca="false">SUM('Inputs 2026'!B106:D106)</f>
        <v>360</v>
      </c>
      <c r="E106" s="0" t="n">
        <f aca="false">AVERAGE('Inputs 2026'!B106:E106)</f>
        <v>90.5</v>
      </c>
      <c r="F106" s="0" t="n">
        <f aca="false">MIN('Inputs 2026'!B106:E106)</f>
        <v>1</v>
      </c>
      <c r="G106" s="0" t="n">
        <f aca="false">MAX('Inputs 2026'!B106:E106)</f>
        <v>352</v>
      </c>
      <c r="H106" s="0" t="n">
        <f aca="false">COUNT('Inputs 2026'!B106:E106)</f>
        <v>4</v>
      </c>
      <c r="I106" s="0" t="n">
        <f aca="false">ROUND('Inputs 2026'!B106/7,2)</f>
        <v>50.29</v>
      </c>
      <c r="J106" s="0" t="n">
        <f aca="false">ROUND('Inputs 2026'!C106*1.005,2)</f>
        <v>7.04</v>
      </c>
      <c r="K106" s="0" t="n">
        <f aca="false">ROUND('Inputs 2026'!D106*1234.5678,-2)</f>
        <v>1200</v>
      </c>
      <c r="L106" s="0" t="n">
        <f aca="false">IF('Inputs 2026'!B106&gt;'Inputs 2026'!C106,'Inputs 2026'!B106,'Inputs 2026'!C106*2)</f>
        <v>352</v>
      </c>
      <c r="M106" s="0" t="n">
        <f aca="false">IF('Inputs 2026'!B106='Inputs 2026'!C106,1,0)</f>
        <v>0</v>
      </c>
      <c r="N106" s="0" t="n">
        <f aca="false">IF('Inputs 2026'!D106&lt;&gt;0,'Inputs 2026'!B106/'Inputs 2026'!D106,0)</f>
        <v>352</v>
      </c>
      <c r="O106" s="0" t="n">
        <f aca="false">-'Inputs 2026'!B106%*50%</f>
        <v>-1.76</v>
      </c>
      <c r="P106" s="0" t="n">
        <f aca="false">C106*2+D106</f>
        <v>1050</v>
      </c>
      <c r="Q106" s="0" t="e">
        <f aca="false">SUM($C$2:C106)</f>
        <v>#DIV/0!</v>
      </c>
      <c r="R106" s="0" t="n">
        <f aca="false">$D$2+P106</f>
        <v>1051.675</v>
      </c>
      <c r="S106" s="0" t="n">
        <f aca="false">COUNT(B106:Q106)</f>
        <v>15</v>
      </c>
      <c r="T106" s="0" t="n">
        <f aca="false">IF('Inputs 2026'!E106&gt;5,1,0)</f>
        <v>0</v>
      </c>
      <c r="U106" s="0" t="n">
        <f aca="false">IF('Inputs 2026'!E106='Inputs 2026'!D106,1,0)</f>
        <v>0</v>
      </c>
      <c r="V106" s="0" t="n">
        <f aca="false">IF('Inputs 2026'!E106,1,2)</f>
        <v>1</v>
      </c>
      <c r="W106" s="0" t="n">
        <f aca="false">IF('Inputs 2026'!B106&gt;0,IF('Inputs 2026'!C106&gt;0,1,2),3)</f>
        <v>1</v>
      </c>
      <c r="X106" s="0" t="n">
        <f aca="false">SUM('Inputs 2026'!E106,'Inputs 2026'!B106,5)</f>
        <v>359</v>
      </c>
      <c r="Y106" s="0" t="n">
        <f aca="false">MAX('Inputs 2026'!B106:C106,10)-MIN('Inputs 2026'!D106,'Inputs 2026'!E106)</f>
        <v>351</v>
      </c>
    </row>
    <row r="107" customFormat="false" ht="12.8" hidden="false" customHeight="false" outlineLevel="0" collapsed="false">
      <c r="A107" s="0" t="s">
        <v>112</v>
      </c>
      <c r="B107" s="0" t="n">
        <f aca="false">'Inputs 2026'!B107+'Inputs 2026'!C107*'Inputs 2026'!D107</f>
        <v>31.6</v>
      </c>
      <c r="C107" s="0" t="n">
        <f aca="false">('Inputs 2026'!B107-'Inputs 2026'!C107)/'Inputs 2026'!D107</f>
        <v>-2390</v>
      </c>
      <c r="D107" s="0" t="n">
        <f aca="false">SUM('Inputs 2026'!B107:D107)</f>
        <v>253.1</v>
      </c>
      <c r="E107" s="0" t="n">
        <f aca="false">AVERAGE('Inputs 2026'!B107:E107)</f>
        <v>84.3666666666667</v>
      </c>
      <c r="F107" s="0" t="n">
        <f aca="false">MIN('Inputs 2026'!B107:E107)</f>
        <v>0.1</v>
      </c>
      <c r="G107" s="0" t="n">
        <f aca="false">MAX('Inputs 2026'!B107:E107)</f>
        <v>246</v>
      </c>
      <c r="H107" s="0" t="n">
        <f aca="false">COUNT('Inputs 2026'!B107:E107)</f>
        <v>3</v>
      </c>
      <c r="I107" s="0" t="n">
        <f aca="false">ROUND('Inputs 2026'!B107/7,2)</f>
        <v>1</v>
      </c>
      <c r="J107" s="0" t="n">
        <f aca="false">ROUND('Inputs 2026'!C107*1.005,2)</f>
        <v>247.23</v>
      </c>
      <c r="K107" s="0" t="n">
        <f aca="false">ROUND('Inputs 2026'!D107*1234.5678,-2)</f>
        <v>100</v>
      </c>
      <c r="L107" s="0" t="n">
        <f aca="false">IF('Inputs 2026'!B107&gt;'Inputs 2026'!C107,'Inputs 2026'!B107,'Inputs 2026'!C107*2)</f>
        <v>492</v>
      </c>
      <c r="M107" s="0" t="n">
        <f aca="false">IF('Inputs 2026'!B107='Inputs 2026'!C107,1,0)</f>
        <v>0</v>
      </c>
      <c r="N107" s="0" t="n">
        <f aca="false">IF('Inputs 2026'!D107&lt;&gt;0,'Inputs 2026'!B107/'Inputs 2026'!D107,0)</f>
        <v>70</v>
      </c>
      <c r="O107" s="0" t="n">
        <f aca="false">-'Inputs 2026'!B107%*50%</f>
        <v>-0.035</v>
      </c>
      <c r="P107" s="0" t="n">
        <f aca="false">C107*2+D107</f>
        <v>-4526.9</v>
      </c>
      <c r="Q107" s="0" t="e">
        <f aca="false">SUM($C$2:C107)</f>
        <v>#DIV/0!</v>
      </c>
      <c r="R107" s="0" t="n">
        <f aca="false">$D$2+P107</f>
        <v>-4525.225</v>
      </c>
      <c r="S107" s="0" t="n">
        <f aca="false">COUNT(B107:Q107)</f>
        <v>15</v>
      </c>
      <c r="T107" s="0" t="n">
        <f aca="false">IF('Inputs 2026'!E107&gt;5,1,0)</f>
        <v>1</v>
      </c>
      <c r="U107" s="0" t="n">
        <f aca="false">IF('Inputs 2026'!E107='Inputs 2026'!D107,1,0)</f>
        <v>0</v>
      </c>
      <c r="V107" s="0" t="e">
        <f aca="false">IF('Inputs 2026'!E107,1,2)</f>
        <v>#VALUE!</v>
      </c>
      <c r="W107" s="0" t="n">
        <f aca="false">IF('Inputs 2026'!B107&gt;0,IF('Inputs 2026'!C107&gt;0,1,2),3)</f>
        <v>1</v>
      </c>
      <c r="X107" s="0" t="n">
        <f aca="false">SUM('Inputs 2026'!E107,'Inputs 2026'!B107,5)</f>
        <v>12</v>
      </c>
      <c r="Y107" s="0" t="n">
        <f aca="false">MAX('Inputs 2026'!B107:C107,10)-MIN('Inputs 2026'!D107,'Inputs 2026'!E107)</f>
        <v>245.9</v>
      </c>
    </row>
    <row r="108" customFormat="false" ht="12.8" hidden="false" customHeight="false" outlineLevel="0" collapsed="false">
      <c r="A108" s="0" t="s">
        <v>113</v>
      </c>
      <c r="B108" s="0" t="n">
        <f aca="false">'Inputs 2026'!B108+'Inputs 2026'!C108*'Inputs 2026'!D108</f>
        <v>32</v>
      </c>
      <c r="C108" s="0" t="n">
        <f aca="false">('Inputs 2026'!B108-'Inputs 2026'!C108)/'Inputs 2026'!D108</f>
        <v>3.42857142857143</v>
      </c>
      <c r="D108" s="0" t="n">
        <f aca="false">SUM('Inputs 2026'!B108:D108)</f>
        <v>33</v>
      </c>
      <c r="E108" s="0" t="n">
        <f aca="false">AVERAGE('Inputs 2026'!B108:E108)</f>
        <v>11</v>
      </c>
      <c r="F108" s="0" t="n">
        <f aca="false">MIN('Inputs 2026'!B108:E108)</f>
        <v>1</v>
      </c>
      <c r="G108" s="0" t="n">
        <f aca="false">MAX('Inputs 2026'!B108:E108)</f>
        <v>25</v>
      </c>
      <c r="H108" s="0" t="n">
        <f aca="false">COUNT('Inputs 2026'!B108:E108)</f>
        <v>3</v>
      </c>
      <c r="I108" s="0" t="n">
        <f aca="false">ROUND('Inputs 2026'!B108/7,2)</f>
        <v>3.57</v>
      </c>
      <c r="J108" s="0" t="n">
        <f aca="false">ROUND('Inputs 2026'!C108*1.005,2)</f>
        <v>1.01</v>
      </c>
      <c r="K108" s="0" t="n">
        <f aca="false">ROUND('Inputs 2026'!D108*1234.5678,-2)</f>
        <v>8600</v>
      </c>
      <c r="L108" s="0" t="n">
        <f aca="false">IF('Inputs 2026'!B108&gt;'Inputs 2026'!C108,'Inputs 2026'!B108,'Inputs 2026'!C108*2)</f>
        <v>25</v>
      </c>
      <c r="M108" s="0" t="n">
        <f aca="false">IF('Inputs 2026'!B108='Inputs 2026'!C108,1,0)</f>
        <v>0</v>
      </c>
      <c r="N108" s="0" t="n">
        <f aca="false">IF('Inputs 2026'!D108&lt;&gt;0,'Inputs 2026'!B108/'Inputs 2026'!D108,0)</f>
        <v>3.57142857142857</v>
      </c>
      <c r="O108" s="0" t="n">
        <f aca="false">-'Inputs 2026'!B108%*50%</f>
        <v>-0.125</v>
      </c>
      <c r="P108" s="0" t="n">
        <f aca="false">C108*2+D108</f>
        <v>39.8571428571429</v>
      </c>
      <c r="Q108" s="0" t="e">
        <f aca="false">SUM($C$2:C108)</f>
        <v>#DIV/0!</v>
      </c>
      <c r="R108" s="0" t="n">
        <f aca="false">$D$2+P108</f>
        <v>41.5321428571429</v>
      </c>
      <c r="S108" s="0" t="n">
        <f aca="false">COUNT(B108:Q108)</f>
        <v>15</v>
      </c>
      <c r="T108" s="0" t="n">
        <f aca="false">IF('Inputs 2026'!E108&gt;5,1,0)</f>
        <v>0</v>
      </c>
      <c r="U108" s="0" t="n">
        <f aca="false">IF('Inputs 2026'!E108='Inputs 2026'!D108,1,0)</f>
        <v>0</v>
      </c>
      <c r="V108" s="0" t="n">
        <f aca="false">IF('Inputs 2026'!E108,1,2)</f>
        <v>2</v>
      </c>
      <c r="W108" s="0" t="n">
        <f aca="false">IF('Inputs 2026'!B108&gt;0,IF('Inputs 2026'!C108&gt;0,1,2),3)</f>
        <v>1</v>
      </c>
      <c r="X108" s="0" t="n">
        <f aca="false">SUM('Inputs 2026'!E108,'Inputs 2026'!B108,5)</f>
        <v>30</v>
      </c>
      <c r="Y108" s="0" t="n">
        <f aca="false">MAX('Inputs 2026'!B108:C108,10)-MIN('Inputs 2026'!D108,'Inputs 2026'!E108)</f>
        <v>18</v>
      </c>
    </row>
    <row r="109" customFormat="false" ht="12.8" hidden="false" customHeight="false" outlineLevel="0" collapsed="false">
      <c r="A109" s="0" t="s">
        <v>114</v>
      </c>
      <c r="B109" s="0" t="n">
        <f aca="false">'Inputs 2026'!B109+'Inputs 2026'!C109*'Inputs 2026'!D109</f>
        <v>196</v>
      </c>
      <c r="C109" s="0" t="e">
        <f aca="false">('Inputs 2026'!B109-'Inputs 2026'!C109)/'Inputs 2026'!D109</f>
        <v>#DIV/0!</v>
      </c>
      <c r="D109" s="0" t="n">
        <f aca="false">SUM('Inputs 2026'!B109:D109)</f>
        <v>196.25</v>
      </c>
      <c r="E109" s="0" t="n">
        <f aca="false">AVERAGE('Inputs 2026'!B109:E109)</f>
        <v>98.125</v>
      </c>
      <c r="F109" s="0" t="n">
        <f aca="false">MIN('Inputs 2026'!B109:E109)</f>
        <v>0.25</v>
      </c>
      <c r="G109" s="0" t="n">
        <f aca="false">MAX('Inputs 2026'!B109:E109)</f>
        <v>196</v>
      </c>
      <c r="H109" s="0" t="n">
        <f aca="false">COUNT('Inputs 2026'!B109:E109)</f>
        <v>2</v>
      </c>
      <c r="I109" s="0" t="n">
        <f aca="false">ROUND('Inputs 2026'!B109/7,2)</f>
        <v>28</v>
      </c>
      <c r="J109" s="0" t="n">
        <f aca="false">ROUND('Inputs 2026'!C109*1.005,2)</f>
        <v>0.25</v>
      </c>
      <c r="K109" s="0" t="n">
        <f aca="false">ROUND('Inputs 2026'!D109*1234.5678,-2)</f>
        <v>0</v>
      </c>
      <c r="L109" s="0" t="n">
        <f aca="false">IF('Inputs 2026'!B109&gt;'Inputs 2026'!C109,'Inputs 2026'!B109,'Inputs 2026'!C109*2)</f>
        <v>196</v>
      </c>
      <c r="M109" s="0" t="n">
        <f aca="false">IF('Inputs 2026'!B109='Inputs 2026'!C109,1,0)</f>
        <v>0</v>
      </c>
      <c r="N109" s="0" t="n">
        <f aca="false">IF('Inputs 2026'!D109&lt;&gt;0,'Inputs 2026'!B109/'Inputs 2026'!D109,0)</f>
        <v>0</v>
      </c>
      <c r="O109" s="0" t="n">
        <f aca="false">-'Inputs 2026'!B109%*50%</f>
        <v>-0.98</v>
      </c>
      <c r="P109" s="0" t="e">
        <f aca="false">C109*2+D109</f>
        <v>#DIV/0!</v>
      </c>
      <c r="Q109" s="0" t="e">
        <f aca="false">SUM($C$2:C109)</f>
        <v>#DIV/0!</v>
      </c>
      <c r="R109" s="0" t="e">
        <f aca="false">$D$2+P109</f>
        <v>#DIV/0!</v>
      </c>
      <c r="S109" s="0" t="n">
        <f aca="false">COUNT(B109:Q109)</f>
        <v>13</v>
      </c>
      <c r="T109" s="0" t="n">
        <f aca="false">IF('Inputs 2026'!E109&gt;5,1,0)</f>
        <v>0</v>
      </c>
      <c r="U109" s="0" t="n">
        <f aca="false">IF('Inputs 2026'!E109='Inputs 2026'!D109,1,0)</f>
        <v>1</v>
      </c>
      <c r="V109" s="0" t="n">
        <f aca="false">IF('Inputs 2026'!E109,1,2)</f>
        <v>2</v>
      </c>
      <c r="W109" s="0" t="n">
        <f aca="false">IF('Inputs 2026'!B109&gt;0,IF('Inputs 2026'!C109&gt;0,1,2),3)</f>
        <v>1</v>
      </c>
      <c r="X109" s="0" t="n">
        <f aca="false">SUM('Inputs 2026'!E109,'Inputs 2026'!B109,5)</f>
        <v>201</v>
      </c>
      <c r="Y109" s="0" t="n">
        <f aca="false">MAX('Inputs 2026'!B109:C109,10)-MIN('Inputs 2026'!D109,'Inputs 2026'!E109)</f>
        <v>196</v>
      </c>
    </row>
    <row r="110" customFormat="false" ht="12.8" hidden="false" customHeight="false" outlineLevel="0" collapsed="false">
      <c r="A110" s="0" t="s">
        <v>115</v>
      </c>
      <c r="B110" s="0" t="n">
        <f aca="false">'Inputs 2026'!B110+'Inputs 2026'!C110*'Inputs 2026'!D110</f>
        <v>6.25</v>
      </c>
      <c r="C110" s="0" t="n">
        <f aca="false">('Inputs 2026'!B110-'Inputs 2026'!C110)/'Inputs 2026'!D110</f>
        <v>-1.375</v>
      </c>
      <c r="D110" s="0" t="n">
        <f aca="false">SUM('Inputs 2026'!B110:D110)</f>
        <v>5.25</v>
      </c>
      <c r="E110" s="0" t="n">
        <f aca="false">AVERAGE('Inputs 2026'!B110:E110)</f>
        <v>1.75</v>
      </c>
      <c r="F110" s="0" t="n">
        <f aca="false">MIN('Inputs 2026'!B110:E110)</f>
        <v>0.25</v>
      </c>
      <c r="G110" s="0" t="n">
        <f aca="false">MAX('Inputs 2026'!B110:E110)</f>
        <v>3</v>
      </c>
      <c r="H110" s="0" t="n">
        <f aca="false">COUNT('Inputs 2026'!B110:E110)</f>
        <v>3</v>
      </c>
      <c r="I110" s="0" t="n">
        <f aca="false">ROUND('Inputs 2026'!B110/7,2)</f>
        <v>0.04</v>
      </c>
      <c r="J110" s="0" t="n">
        <f aca="false">ROUND('Inputs 2026'!C110*1.005,2)</f>
        <v>3.02</v>
      </c>
      <c r="K110" s="0" t="n">
        <f aca="false">ROUND('Inputs 2026'!D110*1234.5678,-2)</f>
        <v>2500</v>
      </c>
      <c r="L110" s="0" t="n">
        <f aca="false">IF('Inputs 2026'!B110&gt;'Inputs 2026'!C110,'Inputs 2026'!B110,'Inputs 2026'!C110*2)</f>
        <v>6</v>
      </c>
      <c r="M110" s="0" t="n">
        <f aca="false">IF('Inputs 2026'!B110='Inputs 2026'!C110,1,0)</f>
        <v>0</v>
      </c>
      <c r="N110" s="0" t="n">
        <f aca="false">IF('Inputs 2026'!D110&lt;&gt;0,'Inputs 2026'!B110/'Inputs 2026'!D110,0)</f>
        <v>0.125</v>
      </c>
      <c r="O110" s="0" t="n">
        <f aca="false">-'Inputs 2026'!B110%*50%</f>
        <v>-0.00125</v>
      </c>
      <c r="P110" s="0" t="n">
        <f aca="false">C110*2+D110</f>
        <v>2.5</v>
      </c>
      <c r="Q110" s="0" t="e">
        <f aca="false">SUM($C$2:C110)</f>
        <v>#DIV/0!</v>
      </c>
      <c r="R110" s="0" t="n">
        <f aca="false">$D$2+P110</f>
        <v>4.175</v>
      </c>
      <c r="S110" s="0" t="n">
        <f aca="false">COUNT(B110:Q110)</f>
        <v>15</v>
      </c>
      <c r="T110" s="0" t="n">
        <f aca="false">IF('Inputs 2026'!E110&gt;5,1,0)</f>
        <v>1</v>
      </c>
      <c r="U110" s="0" t="n">
        <f aca="false">IF('Inputs 2026'!E110='Inputs 2026'!D110,1,0)</f>
        <v>0</v>
      </c>
      <c r="V110" s="0" t="e">
        <f aca="false">IF('Inputs 2026'!E110,1,2)</f>
        <v>#VALUE!</v>
      </c>
      <c r="W110" s="0" t="n">
        <f aca="false">IF('Inputs 2026'!B110&gt;0,IF('Inputs 2026'!C110&gt;0,1,2),3)</f>
        <v>1</v>
      </c>
      <c r="X110" s="0" t="n">
        <f aca="false">SUM('Inputs 2026'!E110,'Inputs 2026'!B110,5)</f>
        <v>5.25</v>
      </c>
      <c r="Y110" s="0" t="n">
        <f aca="false">MAX('Inputs 2026'!B110:C110,10)-MIN('Inputs 2026'!D110,'Inputs 2026'!E110)</f>
        <v>8</v>
      </c>
    </row>
    <row r="111" customFormat="false" ht="12.8" hidden="false" customHeight="false" outlineLevel="0" collapsed="false">
      <c r="A111" s="0" t="s">
        <v>116</v>
      </c>
      <c r="B111" s="0" t="n">
        <f aca="false">'Inputs 2026'!B111+'Inputs 2026'!C111*'Inputs 2026'!D111</f>
        <v>-139.73</v>
      </c>
      <c r="C111" s="0" t="n">
        <f aca="false">('Inputs 2026'!B111-'Inputs 2026'!C111)/'Inputs 2026'!D111</f>
        <v>2.88428571428571</v>
      </c>
      <c r="D111" s="0" t="n">
        <f aca="false">SUM('Inputs 2026'!B111:D111)</f>
        <v>-12.79</v>
      </c>
      <c r="E111" s="0" t="n">
        <f aca="false">AVERAGE('Inputs 2026'!B111:E111)</f>
        <v>-4.26333333333333</v>
      </c>
      <c r="F111" s="0" t="n">
        <f aca="false">MIN('Inputs 2026'!B111:E111)</f>
        <v>-19.99</v>
      </c>
      <c r="G111" s="0" t="n">
        <f aca="false">MAX('Inputs 2026'!B111:E111)</f>
        <v>7</v>
      </c>
      <c r="H111" s="0" t="n">
        <f aca="false">COUNT('Inputs 2026'!B111:E111)</f>
        <v>3</v>
      </c>
      <c r="I111" s="0" t="n">
        <f aca="false">ROUND('Inputs 2026'!B111/7,2)</f>
        <v>0.03</v>
      </c>
      <c r="J111" s="0" t="n">
        <f aca="false">ROUND('Inputs 2026'!C111*1.005,2)</f>
        <v>-20.09</v>
      </c>
      <c r="K111" s="0" t="n">
        <f aca="false">ROUND('Inputs 2026'!D111*1234.5678,-2)</f>
        <v>8600</v>
      </c>
      <c r="L111" s="0" t="n">
        <f aca="false">IF('Inputs 2026'!B111&gt;'Inputs 2026'!C111,'Inputs 2026'!B111,'Inputs 2026'!C111*2)</f>
        <v>0.2</v>
      </c>
      <c r="M111" s="0" t="n">
        <f aca="false">IF('Inputs 2026'!B111='Inputs 2026'!C111,1,0)</f>
        <v>0</v>
      </c>
      <c r="N111" s="0" t="n">
        <f aca="false">IF('Inputs 2026'!D111&lt;&gt;0,'Inputs 2026'!B111/'Inputs 2026'!D111,0)</f>
        <v>0.0285714285714286</v>
      </c>
      <c r="O111" s="0" t="n">
        <f aca="false">-'Inputs 2026'!B111%*50%</f>
        <v>-0.001</v>
      </c>
      <c r="P111" s="0" t="n">
        <f aca="false">C111*2+D111</f>
        <v>-7.02142857142857</v>
      </c>
      <c r="Q111" s="0" t="e">
        <f aca="false">SUM($C$2:C111)</f>
        <v>#DIV/0!</v>
      </c>
      <c r="R111" s="0" t="n">
        <f aca="false">$D$2+P111</f>
        <v>-5.34642857142857</v>
      </c>
      <c r="S111" s="0" t="n">
        <f aca="false">COUNT(B111:Q111)</f>
        <v>15</v>
      </c>
      <c r="T111" s="0" t="n">
        <f aca="false">IF('Inputs 2026'!E111&gt;5,1,0)</f>
        <v>1</v>
      </c>
      <c r="U111" s="0" t="n">
        <f aca="false">IF('Inputs 2026'!E111='Inputs 2026'!D111,1,0)</f>
        <v>0</v>
      </c>
      <c r="V111" s="0" t="e">
        <f aca="false">IF('Inputs 2026'!E111,1,2)</f>
        <v>#VALUE!</v>
      </c>
      <c r="W111" s="0" t="n">
        <f aca="false">IF('Inputs 2026'!B111&gt;0,IF('Inputs 2026'!C111&gt;0,1,2),3)</f>
        <v>2</v>
      </c>
      <c r="X111" s="0" t="n">
        <f aca="false">SUM('Inputs 2026'!E111,'Inputs 2026'!B111,5)</f>
        <v>5.2</v>
      </c>
      <c r="Y111" s="0" t="n">
        <f aca="false">MAX('Inputs 2026'!B111:C111,10)-MIN('Inputs 2026'!D111,'Inputs 2026'!E111)</f>
        <v>3</v>
      </c>
    </row>
    <row r="112" customFormat="false" ht="12.8" hidden="false" customHeight="false" outlineLevel="0" collapsed="false">
      <c r="A112" s="0" t="s">
        <v>117</v>
      </c>
      <c r="B112" s="0" t="n">
        <f aca="false">'Inputs 2026'!B112+'Inputs 2026'!C112*'Inputs 2026'!D112</f>
        <v>21</v>
      </c>
      <c r="C112" s="0" t="n">
        <f aca="false">('Inputs 2026'!B112-'Inputs 2026'!C112)/'Inputs 2026'!D112</f>
        <v>0</v>
      </c>
      <c r="D112" s="0" t="n">
        <f aca="false">SUM('Inputs 2026'!B112:D112)</f>
        <v>16</v>
      </c>
      <c r="E112" s="0" t="n">
        <f aca="false">AVERAGE('Inputs 2026'!B112:E112)</f>
        <v>5.33333333333333</v>
      </c>
      <c r="F112" s="0" t="n">
        <f aca="false">MIN('Inputs 2026'!B112:E112)</f>
        <v>2</v>
      </c>
      <c r="G112" s="0" t="n">
        <f aca="false">MAX('Inputs 2026'!B112:E112)</f>
        <v>7</v>
      </c>
      <c r="H112" s="0" t="n">
        <f aca="false">COUNT('Inputs 2026'!B112:E112)</f>
        <v>3</v>
      </c>
      <c r="I112" s="0" t="n">
        <f aca="false">ROUND('Inputs 2026'!B112/7,2)</f>
        <v>1</v>
      </c>
      <c r="J112" s="0" t="n">
        <f aca="false">ROUND('Inputs 2026'!C112*1.005,2)</f>
        <v>7.04</v>
      </c>
      <c r="K112" s="0" t="n">
        <f aca="false">ROUND('Inputs 2026'!D112*1234.5678,-2)</f>
        <v>2500</v>
      </c>
      <c r="L112" s="0" t="n">
        <f aca="false">IF('Inputs 2026'!B112&gt;'Inputs 2026'!C112,'Inputs 2026'!B112,'Inputs 2026'!C112*2)</f>
        <v>14</v>
      </c>
      <c r="M112" s="0" t="n">
        <f aca="false">IF('Inputs 2026'!B112='Inputs 2026'!C112,1,0)</f>
        <v>1</v>
      </c>
      <c r="N112" s="0" t="n">
        <f aca="false">IF('Inputs 2026'!D112&lt;&gt;0,'Inputs 2026'!B112/'Inputs 2026'!D112,0)</f>
        <v>3.5</v>
      </c>
      <c r="O112" s="0" t="n">
        <f aca="false">-'Inputs 2026'!B112%*50%</f>
        <v>-0.035</v>
      </c>
      <c r="P112" s="0" t="n">
        <f aca="false">C112*2+D112</f>
        <v>16</v>
      </c>
      <c r="Q112" s="0" t="e">
        <f aca="false">SUM($C$2:C112)</f>
        <v>#DIV/0!</v>
      </c>
      <c r="R112" s="0" t="n">
        <f aca="false">$D$2+P112</f>
        <v>17.675</v>
      </c>
      <c r="S112" s="0" t="n">
        <f aca="false">COUNT(B112:Q112)</f>
        <v>15</v>
      </c>
      <c r="T112" s="0" t="n">
        <f aca="false">IF('Inputs 2026'!E112&gt;5,1,0)</f>
        <v>1</v>
      </c>
      <c r="U112" s="0" t="n">
        <f aca="false">IF('Inputs 2026'!E112='Inputs 2026'!D112,1,0)</f>
        <v>0</v>
      </c>
      <c r="V112" s="0" t="e">
        <f aca="false">IF('Inputs 2026'!E112,1,2)</f>
        <v>#VALUE!</v>
      </c>
      <c r="W112" s="0" t="n">
        <f aca="false">IF('Inputs 2026'!B112&gt;0,IF('Inputs 2026'!C112&gt;0,1,2),3)</f>
        <v>1</v>
      </c>
      <c r="X112" s="0" t="n">
        <f aca="false">SUM('Inputs 2026'!E112,'Inputs 2026'!B112,5)</f>
        <v>12</v>
      </c>
      <c r="Y112" s="0" t="n">
        <f aca="false">MAX('Inputs 2026'!B112:C112,10)-MIN('Inputs 2026'!D112,'Inputs 2026'!E112)</f>
        <v>8</v>
      </c>
    </row>
    <row r="113" customFormat="false" ht="12.8" hidden="false" customHeight="false" outlineLevel="0" collapsed="false">
      <c r="A113" s="0" t="s">
        <v>118</v>
      </c>
      <c r="B113" s="0" t="n">
        <f aca="false">'Inputs 2026'!B113+'Inputs 2026'!C113*'Inputs 2026'!D113</f>
        <v>3704.2034</v>
      </c>
      <c r="C113" s="0" t="n">
        <f aca="false">('Inputs 2026'!B113-'Inputs 2026'!C113)/'Inputs 2026'!D113</f>
        <v>-0.00202500016605001</v>
      </c>
      <c r="D113" s="0" t="n">
        <f aca="false">SUM('Inputs 2026'!B113:D113)</f>
        <v>1238.0678</v>
      </c>
      <c r="E113" s="0" t="n">
        <f aca="false">AVERAGE('Inputs 2026'!B113:E113)</f>
        <v>412.689266666667</v>
      </c>
      <c r="F113" s="0" t="n">
        <f aca="false">MIN('Inputs 2026'!B113:E113)</f>
        <v>0.5</v>
      </c>
      <c r="G113" s="0" t="n">
        <f aca="false">MAX('Inputs 2026'!B113:E113)</f>
        <v>1234.5678</v>
      </c>
      <c r="H113" s="0" t="n">
        <f aca="false">COUNT('Inputs 2026'!B113:E113)</f>
        <v>3</v>
      </c>
      <c r="I113" s="0" t="n">
        <f aca="false">ROUND('Inputs 2026'!B113/7,2)</f>
        <v>0.07</v>
      </c>
      <c r="J113" s="0" t="n">
        <f aca="false">ROUND('Inputs 2026'!C113*1.005,2)</f>
        <v>3.02</v>
      </c>
      <c r="K113" s="0" t="n">
        <f aca="false">ROUND('Inputs 2026'!D113*1234.5678,-2)</f>
        <v>1524200</v>
      </c>
      <c r="L113" s="0" t="n">
        <f aca="false">IF('Inputs 2026'!B113&gt;'Inputs 2026'!C113,'Inputs 2026'!B113,'Inputs 2026'!C113*2)</f>
        <v>6</v>
      </c>
      <c r="M113" s="0" t="n">
        <f aca="false">IF('Inputs 2026'!B113='Inputs 2026'!C113,1,0)</f>
        <v>0</v>
      </c>
      <c r="N113" s="0" t="n">
        <f aca="false">IF('Inputs 2026'!D113&lt;&gt;0,'Inputs 2026'!B113/'Inputs 2026'!D113,0)</f>
        <v>0.000405000033210003</v>
      </c>
      <c r="O113" s="0" t="n">
        <f aca="false">-'Inputs 2026'!B113%*50%</f>
        <v>-0.0025</v>
      </c>
      <c r="P113" s="0" t="n">
        <f aca="false">C113*2+D113</f>
        <v>1238.06374999967</v>
      </c>
      <c r="Q113" s="0" t="e">
        <f aca="false">SUM($C$2:C113)</f>
        <v>#DIV/0!</v>
      </c>
      <c r="R113" s="0" t="n">
        <f aca="false">$D$2+P113</f>
        <v>1239.73874999967</v>
      </c>
      <c r="S113" s="0" t="n">
        <f aca="false">COUNT(B113:Q113)</f>
        <v>15</v>
      </c>
      <c r="T113" s="0" t="n">
        <f aca="false">IF('Inputs 2026'!E113&gt;5,1,0)</f>
        <v>1</v>
      </c>
      <c r="U113" s="0" t="n">
        <f aca="false">IF('Inputs 2026'!E113='Inputs 2026'!D113,1,0)</f>
        <v>0</v>
      </c>
      <c r="V113" s="0" t="e">
        <f aca="false">IF('Inputs 2026'!E113,1,2)</f>
        <v>#VALUE!</v>
      </c>
      <c r="W113" s="0" t="n">
        <f aca="false">IF('Inputs 2026'!B113&gt;0,IF('Inputs 2026'!C113&gt;0,1,2),3)</f>
        <v>1</v>
      </c>
      <c r="X113" s="0" t="n">
        <f aca="false">SUM('Inputs 2026'!E113,'Inputs 2026'!B113,5)</f>
        <v>5.5</v>
      </c>
      <c r="Y113" s="0" t="n">
        <f aca="false">MAX('Inputs 2026'!B113:C113,10)-MIN('Inputs 2026'!D113,'Inputs 2026'!E113)</f>
        <v>-1224.5678</v>
      </c>
    </row>
    <row r="114" customFormat="false" ht="12.8" hidden="false" customHeight="false" outlineLevel="0" collapsed="false">
      <c r="A114" s="0" t="s">
        <v>119</v>
      </c>
      <c r="B114" s="0" t="n">
        <f aca="false">'Inputs 2026'!B114+'Inputs 2026'!C114*'Inputs 2026'!D114</f>
        <v>37241</v>
      </c>
      <c r="C114" s="0" t="n">
        <f aca="false">('Inputs 2026'!B114-'Inputs 2026'!C114)/'Inputs 2026'!D114</f>
        <v>-0.740820734341253</v>
      </c>
      <c r="D114" s="0" t="n">
        <f aca="false">SUM('Inputs 2026'!B114:D114)</f>
        <v>282</v>
      </c>
      <c r="E114" s="0" t="n">
        <f aca="false">AVERAGE('Inputs 2026'!B114:E114)</f>
        <v>94</v>
      </c>
      <c r="F114" s="0" t="n">
        <f aca="false">MIN('Inputs 2026'!B114:E114)</f>
        <v>-262</v>
      </c>
      <c r="G114" s="0" t="n">
        <f aca="false">MAX('Inputs 2026'!B114:E114)</f>
        <v>463</v>
      </c>
      <c r="H114" s="0" t="n">
        <f aca="false">COUNT('Inputs 2026'!B114:E114)</f>
        <v>3</v>
      </c>
      <c r="I114" s="0" t="n">
        <f aca="false">ROUND('Inputs 2026'!B114/7,2)</f>
        <v>-37.43</v>
      </c>
      <c r="J114" s="0" t="n">
        <f aca="false">ROUND('Inputs 2026'!C114*1.005,2)</f>
        <v>81.41</v>
      </c>
      <c r="K114" s="0" t="n">
        <f aca="false">ROUND('Inputs 2026'!D114*1234.5678,-2)</f>
        <v>571600</v>
      </c>
      <c r="L114" s="0" t="n">
        <f aca="false">IF('Inputs 2026'!B114&gt;'Inputs 2026'!C114,'Inputs 2026'!B114,'Inputs 2026'!C114*2)</f>
        <v>162</v>
      </c>
      <c r="M114" s="0" t="n">
        <f aca="false">IF('Inputs 2026'!B114='Inputs 2026'!C114,1,0)</f>
        <v>0</v>
      </c>
      <c r="N114" s="0" t="n">
        <f aca="false">IF('Inputs 2026'!D114&lt;&gt;0,'Inputs 2026'!B114/'Inputs 2026'!D114,0)</f>
        <v>-0.565874730021598</v>
      </c>
      <c r="O114" s="0" t="n">
        <f aca="false">-'Inputs 2026'!B114%*50%</f>
        <v>1.31</v>
      </c>
      <c r="P114" s="0" t="n">
        <f aca="false">C114*2+D114</f>
        <v>280.518358531318</v>
      </c>
      <c r="Q114" s="0" t="e">
        <f aca="false">SUM($C$2:C114)</f>
        <v>#DIV/0!</v>
      </c>
      <c r="R114" s="0" t="n">
        <f aca="false">$D$2+P114</f>
        <v>282.193358531318</v>
      </c>
      <c r="S114" s="0" t="n">
        <f aca="false">COUNT(B114:Q114)</f>
        <v>15</v>
      </c>
      <c r="T114" s="0" t="n">
        <f aca="false">IF('Inputs 2026'!E114&gt;5,1,0)</f>
        <v>1</v>
      </c>
      <c r="U114" s="0" t="n">
        <f aca="false">IF('Inputs 2026'!E114='Inputs 2026'!D114,1,0)</f>
        <v>0</v>
      </c>
      <c r="V114" s="0" t="e">
        <f aca="false">IF('Inputs 2026'!E114,1,2)</f>
        <v>#VALUE!</v>
      </c>
      <c r="W114" s="0" t="n">
        <f aca="false">IF('Inputs 2026'!B114&gt;0,IF('Inputs 2026'!C114&gt;0,1,2),3)</f>
        <v>3</v>
      </c>
      <c r="X114" s="0" t="n">
        <f aca="false">SUM('Inputs 2026'!E114,'Inputs 2026'!B114,5)</f>
        <v>-257</v>
      </c>
      <c r="Y114" s="0" t="n">
        <f aca="false">MAX('Inputs 2026'!B114:C114,10)-MIN('Inputs 2026'!D114,'Inputs 2026'!E114)</f>
        <v>-382</v>
      </c>
    </row>
    <row r="115" customFormat="false" ht="12.8" hidden="false" customHeight="false" outlineLevel="0" collapsed="false">
      <c r="A115" s="0" t="s">
        <v>120</v>
      </c>
      <c r="B115" s="0" t="n">
        <f aca="false">'Inputs 2026'!B115+'Inputs 2026'!C115*'Inputs 2026'!D115</f>
        <v>2</v>
      </c>
      <c r="C115" s="0" t="n">
        <f aca="false">('Inputs 2026'!B115-'Inputs 2026'!C115)/'Inputs 2026'!D115</f>
        <v>-2</v>
      </c>
      <c r="D115" s="0" t="n">
        <f aca="false">SUM('Inputs 2026'!B115:D115)</f>
        <v>1</v>
      </c>
      <c r="E115" s="0" t="n">
        <f aca="false">AVERAGE('Inputs 2026'!B115:E115)</f>
        <v>0.5</v>
      </c>
      <c r="F115" s="0" t="n">
        <f aca="false">MIN('Inputs 2026'!B115:E115)</f>
        <v>-1</v>
      </c>
      <c r="G115" s="0" t="n">
        <f aca="false">MAX('Inputs 2026'!B115:E115)</f>
        <v>2</v>
      </c>
      <c r="H115" s="0" t="n">
        <f aca="false">COUNT('Inputs 2026'!B115:E115)</f>
        <v>2</v>
      </c>
      <c r="I115" s="0" t="n">
        <f aca="false">ROUND('Inputs 2026'!B115/7,2)</f>
        <v>0.29</v>
      </c>
      <c r="J115" s="0" t="n">
        <f aca="false">ROUND('Inputs 2026'!C115*1.005,2)</f>
        <v>0</v>
      </c>
      <c r="K115" s="0" t="n">
        <f aca="false">ROUND('Inputs 2026'!D115*1234.5678,-2)</f>
        <v>-1200</v>
      </c>
      <c r="L115" s="0" t="n">
        <f aca="false">IF('Inputs 2026'!B115&gt;'Inputs 2026'!C115,'Inputs 2026'!B115,'Inputs 2026'!C115*2)</f>
        <v>2</v>
      </c>
      <c r="M115" s="0" t="n">
        <f aca="false">IF('Inputs 2026'!B115='Inputs 2026'!C115,1,0)</f>
        <v>0</v>
      </c>
      <c r="N115" s="0" t="n">
        <f aca="false">IF('Inputs 2026'!D115&lt;&gt;0,'Inputs 2026'!B115/'Inputs 2026'!D115,0)</f>
        <v>-2</v>
      </c>
      <c r="O115" s="0" t="n">
        <f aca="false">-'Inputs 2026'!B115%*50%</f>
        <v>-0.01</v>
      </c>
      <c r="P115" s="0" t="n">
        <f aca="false">C115*2+D115</f>
        <v>-3</v>
      </c>
      <c r="Q115" s="0" t="e">
        <f aca="false">SUM($C$2:C115)</f>
        <v>#DIV/0!</v>
      </c>
      <c r="R115" s="0" t="n">
        <f aca="false">$D$2+P115</f>
        <v>-1.325</v>
      </c>
      <c r="S115" s="0" t="n">
        <f aca="false">COUNT(B115:Q115)</f>
        <v>15</v>
      </c>
      <c r="T115" s="0" t="n">
        <f aca="false">IF('Inputs 2026'!E115&gt;5,1,0)</f>
        <v>1</v>
      </c>
      <c r="U115" s="0" t="n">
        <f aca="false">IF('Inputs 2026'!E115='Inputs 2026'!D115,1,0)</f>
        <v>0</v>
      </c>
      <c r="V115" s="0" t="e">
        <f aca="false">IF('Inputs 2026'!E115,1,2)</f>
        <v>#VALUE!</v>
      </c>
      <c r="W115" s="0" t="n">
        <f aca="false">IF('Inputs 2026'!B115&gt;0,IF('Inputs 2026'!C115&gt;0,1,2),3)</f>
        <v>2</v>
      </c>
      <c r="X115" s="0" t="n">
        <f aca="false">SUM('Inputs 2026'!E115,'Inputs 2026'!B115,5)</f>
        <v>7</v>
      </c>
      <c r="Y115" s="0" t="n">
        <f aca="false">MAX('Inputs 2026'!B115:C115,10)-MIN('Inputs 2026'!D115,'Inputs 2026'!E115)</f>
        <v>11</v>
      </c>
    </row>
    <row r="116" customFormat="false" ht="12.8" hidden="false" customHeight="false" outlineLevel="0" collapsed="false">
      <c r="A116" s="0" t="s">
        <v>121</v>
      </c>
      <c r="B116" s="0" t="n">
        <f aca="false">'Inputs 2026'!B116+'Inputs 2026'!C116*'Inputs 2026'!D116</f>
        <v>10</v>
      </c>
      <c r="C116" s="0" t="e">
        <f aca="false">('Inputs 2026'!B116-'Inputs 2026'!C116)/'Inputs 2026'!D116</f>
        <v>#DIV/0!</v>
      </c>
      <c r="D116" s="0" t="n">
        <f aca="false">SUM('Inputs 2026'!B116:D116)</f>
        <v>10</v>
      </c>
      <c r="E116" s="0" t="n">
        <f aca="false">AVERAGE('Inputs 2026'!B116:E116)</f>
        <v>5</v>
      </c>
      <c r="F116" s="0" t="n">
        <f aca="false">MIN('Inputs 2026'!B116:E116)</f>
        <v>0</v>
      </c>
      <c r="G116" s="0" t="n">
        <f aca="false">MAX('Inputs 2026'!B116:E116)</f>
        <v>10</v>
      </c>
      <c r="H116" s="0" t="n">
        <f aca="false">COUNT('Inputs 2026'!B116:E116)</f>
        <v>2</v>
      </c>
      <c r="I116" s="0" t="n">
        <f aca="false">ROUND('Inputs 2026'!B116/7,2)</f>
        <v>1.43</v>
      </c>
      <c r="J116" s="0" t="n">
        <f aca="false">ROUND('Inputs 2026'!C116*1.005,2)</f>
        <v>0</v>
      </c>
      <c r="K116" s="0" t="n">
        <f aca="false">ROUND('Inputs 2026'!D116*1234.5678,-2)</f>
        <v>0</v>
      </c>
      <c r="L116" s="0" t="n">
        <f aca="false">IF('Inputs 2026'!B116&gt;'Inputs 2026'!C116,'Inputs 2026'!B116,'Inputs 2026'!C116*2)</f>
        <v>10</v>
      </c>
      <c r="M116" s="0" t="n">
        <f aca="false">IF('Inputs 2026'!B116='Inputs 2026'!C116,1,0)</f>
        <v>0</v>
      </c>
      <c r="N116" s="0" t="n">
        <f aca="false">IF('Inputs 2026'!D116&lt;&gt;0,'Inputs 2026'!B116/'Inputs 2026'!D116,0)</f>
        <v>0</v>
      </c>
      <c r="O116" s="0" t="n">
        <f aca="false">-'Inputs 2026'!B116%*50%</f>
        <v>-0.05</v>
      </c>
      <c r="P116" s="0" t="e">
        <f aca="false">C116*2+D116</f>
        <v>#DIV/0!</v>
      </c>
      <c r="Q116" s="0" t="e">
        <f aca="false">SUM($C$2:C116)</f>
        <v>#DIV/0!</v>
      </c>
      <c r="R116" s="0" t="e">
        <f aca="false">$D$2+P116</f>
        <v>#DIV/0!</v>
      </c>
      <c r="S116" s="0" t="n">
        <f aca="false">COUNT(B116:Q116)</f>
        <v>13</v>
      </c>
      <c r="T116" s="0" t="n">
        <f aca="false">IF('Inputs 2026'!E116&gt;5,1,0)</f>
        <v>1</v>
      </c>
      <c r="U116" s="0" t="n">
        <f aca="false">IF('Inputs 2026'!E116='Inputs 2026'!D116,1,0)</f>
        <v>0</v>
      </c>
      <c r="V116" s="0" t="e">
        <f aca="false">IF('Inputs 2026'!E116,1,2)</f>
        <v>#VALUE!</v>
      </c>
      <c r="W116" s="0" t="n">
        <f aca="false">IF('Inputs 2026'!B116&gt;0,IF('Inputs 2026'!C116&gt;0,1,2),3)</f>
        <v>2</v>
      </c>
      <c r="X116" s="0" t="n">
        <f aca="false">SUM('Inputs 2026'!E116,'Inputs 2026'!B116,5)</f>
        <v>15</v>
      </c>
      <c r="Y116" s="0" t="n">
        <f aca="false">MAX('Inputs 2026'!B116:C116,10)-MIN('Inputs 2026'!D116,'Inputs 2026'!E116)</f>
        <v>10</v>
      </c>
    </row>
    <row r="117" customFormat="false" ht="12.8" hidden="false" customHeight="false" outlineLevel="0" collapsed="false">
      <c r="A117" s="0" t="s">
        <v>122</v>
      </c>
      <c r="B117" s="0" t="n">
        <f aca="false">'Inputs 2026'!B117+'Inputs 2026'!C117*'Inputs 2026'!D117</f>
        <v>0.2</v>
      </c>
      <c r="C117" s="0" t="n">
        <f aca="false">('Inputs 2026'!B117-'Inputs 2026'!C117)/'Inputs 2026'!D117</f>
        <v>-0.0100050025012506</v>
      </c>
      <c r="D117" s="0" t="n">
        <f aca="false">SUM('Inputs 2026'!B117:D117)</f>
        <v>-19.79</v>
      </c>
      <c r="E117" s="0" t="n">
        <f aca="false">AVERAGE('Inputs 2026'!B117:E117)</f>
        <v>-9.895</v>
      </c>
      <c r="F117" s="0" t="n">
        <f aca="false">MIN('Inputs 2026'!B117:E117)</f>
        <v>-19.99</v>
      </c>
      <c r="G117" s="0" t="n">
        <f aca="false">MAX('Inputs 2026'!B117:E117)</f>
        <v>0.2</v>
      </c>
      <c r="H117" s="0" t="n">
        <f aca="false">COUNT('Inputs 2026'!B117:E117)</f>
        <v>2</v>
      </c>
      <c r="I117" s="0" t="n">
        <f aca="false">ROUND('Inputs 2026'!B117/7,2)</f>
        <v>0.03</v>
      </c>
      <c r="J117" s="0" t="n">
        <f aca="false">ROUND('Inputs 2026'!C117*1.005,2)</f>
        <v>0</v>
      </c>
      <c r="K117" s="0" t="n">
        <f aca="false">ROUND('Inputs 2026'!D117*1234.5678,-2)</f>
        <v>-24700</v>
      </c>
      <c r="L117" s="0" t="n">
        <f aca="false">IF('Inputs 2026'!B117&gt;'Inputs 2026'!C117,'Inputs 2026'!B117,'Inputs 2026'!C117*2)</f>
        <v>0.2</v>
      </c>
      <c r="M117" s="0" t="n">
        <f aca="false">IF('Inputs 2026'!B117='Inputs 2026'!C117,1,0)</f>
        <v>0</v>
      </c>
      <c r="N117" s="0" t="n">
        <f aca="false">IF('Inputs 2026'!D117&lt;&gt;0,'Inputs 2026'!B117/'Inputs 2026'!D117,0)</f>
        <v>-0.0100050025012506</v>
      </c>
      <c r="O117" s="0" t="n">
        <f aca="false">-'Inputs 2026'!B117%*50%</f>
        <v>-0.001</v>
      </c>
      <c r="P117" s="0" t="n">
        <f aca="false">C117*2+D117</f>
        <v>-19.8100100050025</v>
      </c>
      <c r="Q117" s="0" t="e">
        <f aca="false">SUM($C$2:C117)</f>
        <v>#DIV/0!</v>
      </c>
      <c r="R117" s="0" t="n">
        <f aca="false">$D$2+P117</f>
        <v>-18.1350100050025</v>
      </c>
      <c r="S117" s="0" t="n">
        <f aca="false">COUNT(B117:Q117)</f>
        <v>15</v>
      </c>
      <c r="T117" s="0" t="n">
        <f aca="false">IF('Inputs 2026'!E117&gt;5,1,0)</f>
        <v>1</v>
      </c>
      <c r="U117" s="0" t="n">
        <f aca="false">IF('Inputs 2026'!E117='Inputs 2026'!D117,1,0)</f>
        <v>0</v>
      </c>
      <c r="V117" s="0" t="e">
        <f aca="false">IF('Inputs 2026'!E117,1,2)</f>
        <v>#VALUE!</v>
      </c>
      <c r="W117" s="0" t="n">
        <f aca="false">IF('Inputs 2026'!B117&gt;0,IF('Inputs 2026'!C117&gt;0,1,2),3)</f>
        <v>2</v>
      </c>
      <c r="X117" s="0" t="n">
        <f aca="false">SUM('Inputs 2026'!E117,'Inputs 2026'!B117,5)</f>
        <v>5.2</v>
      </c>
      <c r="Y117" s="0" t="n">
        <f aca="false">MAX('Inputs 2026'!B117:C117,10)-MIN('Inputs 2026'!D117,'Inputs 2026'!E117)</f>
        <v>29.99</v>
      </c>
    </row>
    <row r="118" customFormat="false" ht="12.8" hidden="false" customHeight="false" outlineLevel="0" collapsed="false">
      <c r="A118" s="0" t="s">
        <v>123</v>
      </c>
      <c r="B118" s="0" t="n">
        <f aca="false">'Inputs 2026'!B118+'Inputs 2026'!C118*'Inputs 2026'!D118</f>
        <v>1214.47785</v>
      </c>
      <c r="C118" s="0" t="n">
        <f aca="false">('Inputs 2026'!B118-'Inputs 2026'!C118)/'Inputs 2026'!D118</f>
        <v>-61.7089944972486</v>
      </c>
      <c r="D118" s="0" t="n">
        <f aca="false">SUM('Inputs 2026'!B118:D118)</f>
        <v>1215.5828</v>
      </c>
      <c r="E118" s="0" t="n">
        <f aca="false">AVERAGE('Inputs 2026'!B118:E118)</f>
        <v>405.194266666667</v>
      </c>
      <c r="F118" s="0" t="n">
        <f aca="false">MIN('Inputs 2026'!B118:E118)</f>
        <v>-19.99</v>
      </c>
      <c r="G118" s="0" t="n">
        <f aca="false">MAX('Inputs 2026'!B118:E118)</f>
        <v>1234.5678</v>
      </c>
      <c r="H118" s="0" t="n">
        <f aca="false">COUNT('Inputs 2026'!B118:E118)</f>
        <v>3</v>
      </c>
      <c r="I118" s="0" t="n">
        <f aca="false">ROUND('Inputs 2026'!B118/7,2)</f>
        <v>176.37</v>
      </c>
      <c r="J118" s="0" t="n">
        <f aca="false">ROUND('Inputs 2026'!C118*1.005,2)</f>
        <v>1.01</v>
      </c>
      <c r="K118" s="0" t="n">
        <f aca="false">ROUND('Inputs 2026'!D118*1234.5678,-2)</f>
        <v>-24700</v>
      </c>
      <c r="L118" s="0" t="n">
        <f aca="false">IF('Inputs 2026'!B118&gt;'Inputs 2026'!C118,'Inputs 2026'!B118,'Inputs 2026'!C118*2)</f>
        <v>1234.5678</v>
      </c>
      <c r="M118" s="0" t="n">
        <f aca="false">IF('Inputs 2026'!B118='Inputs 2026'!C118,1,0)</f>
        <v>0</v>
      </c>
      <c r="N118" s="0" t="n">
        <f aca="false">IF('Inputs 2026'!D118&lt;&gt;0,'Inputs 2026'!B118/'Inputs 2026'!D118,0)</f>
        <v>-61.7592696348174</v>
      </c>
      <c r="O118" s="0" t="n">
        <f aca="false">-'Inputs 2026'!B118%*50%</f>
        <v>-6.172839</v>
      </c>
      <c r="P118" s="0" t="n">
        <f aca="false">C118*2+D118</f>
        <v>1092.1648110055</v>
      </c>
      <c r="Q118" s="0" t="e">
        <f aca="false">SUM($C$2:C118)</f>
        <v>#DIV/0!</v>
      </c>
      <c r="R118" s="0" t="n">
        <f aca="false">$D$2+P118</f>
        <v>1093.8398110055</v>
      </c>
      <c r="S118" s="0" t="n">
        <f aca="false">COUNT(B118:Q118)</f>
        <v>15</v>
      </c>
      <c r="T118" s="0" t="n">
        <f aca="false">IF('Inputs 2026'!E118&gt;5,1,0)</f>
        <v>0</v>
      </c>
      <c r="U118" s="0" t="n">
        <f aca="false">IF('Inputs 2026'!E118='Inputs 2026'!D118,1,0)</f>
        <v>0</v>
      </c>
      <c r="V118" s="0" t="n">
        <f aca="false">IF('Inputs 2026'!E118,1,2)</f>
        <v>2</v>
      </c>
      <c r="W118" s="0" t="n">
        <f aca="false">IF('Inputs 2026'!B118&gt;0,IF('Inputs 2026'!C118&gt;0,1,2),3)</f>
        <v>1</v>
      </c>
      <c r="X118" s="0" t="n">
        <f aca="false">SUM('Inputs 2026'!E118,'Inputs 2026'!B118,5)</f>
        <v>1239.5678</v>
      </c>
      <c r="Y118" s="0" t="n">
        <f aca="false">MAX('Inputs 2026'!B118:C118,10)-MIN('Inputs 2026'!D118,'Inputs 2026'!E118)</f>
        <v>1254.5578</v>
      </c>
    </row>
    <row r="119" customFormat="false" ht="12.8" hidden="false" customHeight="false" outlineLevel="0" collapsed="false">
      <c r="A119" s="0" t="s">
        <v>124</v>
      </c>
      <c r="B119" s="0" t="n">
        <f aca="false">'Inputs 2026'!B119+'Inputs 2026'!C119*'Inputs 2026'!D119</f>
        <v>317.565</v>
      </c>
      <c r="C119" s="0" t="n">
        <f aca="false">('Inputs 2026'!B119-'Inputs 2026'!C119)/'Inputs 2026'!D119</f>
        <v>-308.457711442786</v>
      </c>
      <c r="D119" s="0" t="n">
        <f aca="false">SUM('Inputs 2026'!B119:D119)</f>
        <v>317.005</v>
      </c>
      <c r="E119" s="0" t="n">
        <f aca="false">AVERAGE('Inputs 2026'!B119:E119)</f>
        <v>105.668333333333</v>
      </c>
      <c r="F119" s="0" t="n">
        <f aca="false">MIN('Inputs 2026'!B119:E119)</f>
        <v>1.005</v>
      </c>
      <c r="G119" s="0" t="n">
        <f aca="false">MAX('Inputs 2026'!B119:E119)</f>
        <v>313</v>
      </c>
      <c r="H119" s="0" t="n">
        <f aca="false">COUNT('Inputs 2026'!B119:E119)</f>
        <v>3</v>
      </c>
      <c r="I119" s="0" t="n">
        <f aca="false">ROUND('Inputs 2026'!B119/7,2)</f>
        <v>0.43</v>
      </c>
      <c r="J119" s="0" t="n">
        <f aca="false">ROUND('Inputs 2026'!C119*1.005,2)</f>
        <v>314.57</v>
      </c>
      <c r="K119" s="0" t="n">
        <f aca="false">ROUND('Inputs 2026'!D119*1234.5678,-2)</f>
        <v>1200</v>
      </c>
      <c r="L119" s="0" t="n">
        <f aca="false">IF('Inputs 2026'!B119&gt;'Inputs 2026'!C119,'Inputs 2026'!B119,'Inputs 2026'!C119*2)</f>
        <v>626</v>
      </c>
      <c r="M119" s="0" t="n">
        <f aca="false">IF('Inputs 2026'!B119='Inputs 2026'!C119,1,0)</f>
        <v>0</v>
      </c>
      <c r="N119" s="0" t="n">
        <f aca="false">IF('Inputs 2026'!D119&lt;&gt;0,'Inputs 2026'!B119/'Inputs 2026'!D119,0)</f>
        <v>2.98507462686567</v>
      </c>
      <c r="O119" s="0" t="n">
        <f aca="false">-'Inputs 2026'!B119%*50%</f>
        <v>-0.015</v>
      </c>
      <c r="P119" s="0" t="n">
        <f aca="false">C119*2+D119</f>
        <v>-299.910422885572</v>
      </c>
      <c r="Q119" s="0" t="e">
        <f aca="false">SUM($C$2:C119)</f>
        <v>#DIV/0!</v>
      </c>
      <c r="R119" s="0" t="n">
        <f aca="false">$D$2+P119</f>
        <v>-298.235422885572</v>
      </c>
      <c r="S119" s="0" t="n">
        <f aca="false">COUNT(B119:Q119)</f>
        <v>15</v>
      </c>
      <c r="T119" s="0" t="n">
        <f aca="false">IF('Inputs 2026'!E119&gt;5,1,0)</f>
        <v>0</v>
      </c>
      <c r="U119" s="0" t="n">
        <f aca="false">IF('Inputs 2026'!E119='Inputs 2026'!D119,1,0)</f>
        <v>0</v>
      </c>
      <c r="V119" s="0" t="n">
        <f aca="false">IF('Inputs 2026'!E119,1,2)</f>
        <v>2</v>
      </c>
      <c r="W119" s="0" t="n">
        <f aca="false">IF('Inputs 2026'!B119&gt;0,IF('Inputs 2026'!C119&gt;0,1,2),3)</f>
        <v>1</v>
      </c>
      <c r="X119" s="0" t="n">
        <f aca="false">SUM('Inputs 2026'!E119,'Inputs 2026'!B119,5)</f>
        <v>8</v>
      </c>
      <c r="Y119" s="0" t="n">
        <f aca="false">MAX('Inputs 2026'!B119:C119,10)-MIN('Inputs 2026'!D119,'Inputs 2026'!E119)</f>
        <v>311.995</v>
      </c>
    </row>
    <row r="120" customFormat="false" ht="12.8" hidden="false" customHeight="false" outlineLevel="0" collapsed="false">
      <c r="A120" s="0" t="s">
        <v>125</v>
      </c>
      <c r="B120" s="0" t="n">
        <f aca="false">'Inputs 2026'!B120+'Inputs 2026'!C120*'Inputs 2026'!D120</f>
        <v>2571.68</v>
      </c>
      <c r="C120" s="0" t="n">
        <f aca="false">('Inputs 2026'!B120-'Inputs 2026'!C120)/'Inputs 2026'!D120</f>
        <v>-0.0266121844216278</v>
      </c>
      <c r="D120" s="0" t="n">
        <f aca="false">SUM('Inputs 2026'!B120:D120)</f>
        <v>846.9</v>
      </c>
      <c r="E120" s="0" t="n">
        <f aca="false">AVERAGE('Inputs 2026'!B120:E120)</f>
        <v>282.3</v>
      </c>
      <c r="F120" s="0" t="n">
        <f aca="false">MIN('Inputs 2026'!B120:E120)</f>
        <v>-19.99</v>
      </c>
      <c r="G120" s="0" t="n">
        <f aca="false">MAX('Inputs 2026'!B120:E120)</f>
        <v>863.89</v>
      </c>
      <c r="H120" s="0" t="n">
        <f aca="false">COUNT('Inputs 2026'!B120:E120)</f>
        <v>3</v>
      </c>
      <c r="I120" s="0" t="n">
        <f aca="false">ROUND('Inputs 2026'!B120/7,2)</f>
        <v>-2.86</v>
      </c>
      <c r="J120" s="0" t="n">
        <f aca="false">ROUND('Inputs 2026'!C120*1.005,2)</f>
        <v>3.02</v>
      </c>
      <c r="K120" s="0" t="n">
        <f aca="false">ROUND('Inputs 2026'!D120*1234.5678,-2)</f>
        <v>1066500</v>
      </c>
      <c r="L120" s="0" t="n">
        <f aca="false">IF('Inputs 2026'!B120&gt;'Inputs 2026'!C120,'Inputs 2026'!B120,'Inputs 2026'!C120*2)</f>
        <v>6</v>
      </c>
      <c r="M120" s="0" t="n">
        <f aca="false">IF('Inputs 2026'!B120='Inputs 2026'!C120,1,0)</f>
        <v>0</v>
      </c>
      <c r="N120" s="0" t="n">
        <f aca="false">IF('Inputs 2026'!D120&lt;&gt;0,'Inputs 2026'!B120/'Inputs 2026'!D120,0)</f>
        <v>-0.0231395200777877</v>
      </c>
      <c r="O120" s="0" t="n">
        <f aca="false">-'Inputs 2026'!B120%*50%</f>
        <v>0.09995</v>
      </c>
      <c r="P120" s="0" t="n">
        <f aca="false">C120*2+D120</f>
        <v>846.846775631157</v>
      </c>
      <c r="Q120" s="0" t="e">
        <f aca="false">SUM($C$2:C120)</f>
        <v>#DIV/0!</v>
      </c>
      <c r="R120" s="0" t="n">
        <f aca="false">$D$2+P120</f>
        <v>848.521775631157</v>
      </c>
      <c r="S120" s="0" t="n">
        <f aca="false">COUNT(B120:Q120)</f>
        <v>15</v>
      </c>
      <c r="T120" s="0" t="n">
        <f aca="false">IF('Inputs 2026'!E120&gt;5,1,0)</f>
        <v>0</v>
      </c>
      <c r="U120" s="0" t="n">
        <f aca="false">IF('Inputs 2026'!E120='Inputs 2026'!D120,1,0)</f>
        <v>0</v>
      </c>
      <c r="V120" s="0" t="n">
        <f aca="false">IF('Inputs 2026'!E120,1,2)</f>
        <v>2</v>
      </c>
      <c r="W120" s="0" t="n">
        <f aca="false">IF('Inputs 2026'!B120&gt;0,IF('Inputs 2026'!C120&gt;0,1,2),3)</f>
        <v>3</v>
      </c>
      <c r="X120" s="0" t="n">
        <f aca="false">SUM('Inputs 2026'!E120,'Inputs 2026'!B120,5)</f>
        <v>-14.99</v>
      </c>
      <c r="Y120" s="0" t="n">
        <f aca="false">MAX('Inputs 2026'!B120:C120,10)-MIN('Inputs 2026'!D120,'Inputs 2026'!E120)</f>
        <v>-853.89</v>
      </c>
    </row>
    <row r="121" customFormat="false" ht="12.8" hidden="false" customHeight="false" outlineLevel="0" collapsed="false">
      <c r="A121" s="0" t="s">
        <v>126</v>
      </c>
      <c r="B121" s="0" t="n">
        <f aca="false">'Inputs 2026'!B121+'Inputs 2026'!C121*'Inputs 2026'!D121</f>
        <v>1608.1</v>
      </c>
      <c r="C121" s="0" t="n">
        <f aca="false">('Inputs 2026'!B121-'Inputs 2026'!C121)/'Inputs 2026'!D121</f>
        <v>-1.40174825174825</v>
      </c>
      <c r="D121" s="0" t="n">
        <f aca="false">SUM('Inputs 2026'!B121:D121)</f>
        <v>-100.9</v>
      </c>
      <c r="E121" s="0" t="n">
        <f aca="false">AVERAGE('Inputs 2026'!B121:E121)</f>
        <v>-33.6333333333333</v>
      </c>
      <c r="F121" s="0" t="n">
        <f aca="false">MIN('Inputs 2026'!B121:E121)</f>
        <v>-393.9</v>
      </c>
      <c r="G121" s="0" t="n">
        <f aca="false">MAX('Inputs 2026'!B121:E121)</f>
        <v>286</v>
      </c>
      <c r="H121" s="0" t="n">
        <f aca="false">COUNT('Inputs 2026'!B121:E121)</f>
        <v>3</v>
      </c>
      <c r="I121" s="0" t="n">
        <f aca="false">ROUND('Inputs 2026'!B121/7,2)</f>
        <v>-56.27</v>
      </c>
      <c r="J121" s="0" t="n">
        <f aca="false">ROUND('Inputs 2026'!C121*1.005,2)</f>
        <v>7.04</v>
      </c>
      <c r="K121" s="0" t="n">
        <f aca="false">ROUND('Inputs 2026'!D121*1234.5678,-2)</f>
        <v>353100</v>
      </c>
      <c r="L121" s="0" t="n">
        <f aca="false">IF('Inputs 2026'!B121&gt;'Inputs 2026'!C121,'Inputs 2026'!B121,'Inputs 2026'!C121*2)</f>
        <v>14</v>
      </c>
      <c r="M121" s="0" t="n">
        <f aca="false">IF('Inputs 2026'!B121='Inputs 2026'!C121,1,0)</f>
        <v>0</v>
      </c>
      <c r="N121" s="0" t="n">
        <f aca="false">IF('Inputs 2026'!D121&lt;&gt;0,'Inputs 2026'!B121/'Inputs 2026'!D121,0)</f>
        <v>-1.37727272727273</v>
      </c>
      <c r="O121" s="0" t="n">
        <f aca="false">-'Inputs 2026'!B121%*50%</f>
        <v>1.9695</v>
      </c>
      <c r="P121" s="0" t="n">
        <f aca="false">C121*2+D121</f>
        <v>-103.703496503496</v>
      </c>
      <c r="Q121" s="0" t="e">
        <f aca="false">SUM($C$2:C121)</f>
        <v>#DIV/0!</v>
      </c>
      <c r="R121" s="0" t="n">
        <f aca="false">$D$2+P121</f>
        <v>-102.028496503496</v>
      </c>
      <c r="S121" s="0" t="n">
        <f aca="false">COUNT(B121:Q121)</f>
        <v>15</v>
      </c>
      <c r="T121" s="0" t="n">
        <f aca="false">IF('Inputs 2026'!E121&gt;5,1,0)</f>
        <v>1</v>
      </c>
      <c r="U121" s="0" t="n">
        <f aca="false">IF('Inputs 2026'!E121='Inputs 2026'!D121,1,0)</f>
        <v>0</v>
      </c>
      <c r="V121" s="0" t="e">
        <f aca="false">IF('Inputs 2026'!E121,1,2)</f>
        <v>#VALUE!</v>
      </c>
      <c r="W121" s="0" t="n">
        <f aca="false">IF('Inputs 2026'!B121&gt;0,IF('Inputs 2026'!C121&gt;0,1,2),3)</f>
        <v>3</v>
      </c>
      <c r="X121" s="0" t="n">
        <f aca="false">SUM('Inputs 2026'!E121,'Inputs 2026'!B121,5)</f>
        <v>-388.9</v>
      </c>
      <c r="Y121" s="0" t="n">
        <f aca="false">MAX('Inputs 2026'!B121:C121,10)-MIN('Inputs 2026'!D121,'Inputs 2026'!E121)</f>
        <v>-276</v>
      </c>
    </row>
    <row r="122" customFormat="false" ht="12.8" hidden="false" customHeight="false" outlineLevel="0" collapsed="false">
      <c r="A122" s="0" t="s">
        <v>127</v>
      </c>
      <c r="B122" s="0" t="n">
        <f aca="false">'Inputs 2026'!B122+'Inputs 2026'!C122*'Inputs 2026'!D122</f>
        <v>308.84195</v>
      </c>
      <c r="C122" s="0" t="n">
        <f aca="false">('Inputs 2026'!B122-'Inputs 2026'!C122)/'Inputs 2026'!D122</f>
        <v>-4.05000033210003E-005</v>
      </c>
      <c r="D122" s="0" t="n">
        <f aca="false">SUM('Inputs 2026'!B122:D122)</f>
        <v>1235.0178</v>
      </c>
      <c r="E122" s="0" t="n">
        <f aca="false">AVERAGE('Inputs 2026'!B122:E122)</f>
        <v>315.00445</v>
      </c>
      <c r="F122" s="0" t="n">
        <f aca="false">MIN('Inputs 2026'!B122:E122)</f>
        <v>0.2</v>
      </c>
      <c r="G122" s="0" t="n">
        <f aca="false">MAX('Inputs 2026'!B122:E122)</f>
        <v>1234.5678</v>
      </c>
      <c r="H122" s="0" t="n">
        <f aca="false">COUNT('Inputs 2026'!B122:E122)</f>
        <v>4</v>
      </c>
      <c r="I122" s="0" t="n">
        <f aca="false">ROUND('Inputs 2026'!B122/7,2)</f>
        <v>0.03</v>
      </c>
      <c r="J122" s="0" t="n">
        <f aca="false">ROUND('Inputs 2026'!C122*1.005,2)</f>
        <v>0.25</v>
      </c>
      <c r="K122" s="0" t="n">
        <f aca="false">ROUND('Inputs 2026'!D122*1234.5678,-2)</f>
        <v>1524200</v>
      </c>
      <c r="L122" s="0" t="n">
        <f aca="false">IF('Inputs 2026'!B122&gt;'Inputs 2026'!C122,'Inputs 2026'!B122,'Inputs 2026'!C122*2)</f>
        <v>0.5</v>
      </c>
      <c r="M122" s="0" t="n">
        <f aca="false">IF('Inputs 2026'!B122='Inputs 2026'!C122,1,0)</f>
        <v>0</v>
      </c>
      <c r="N122" s="0" t="n">
        <f aca="false">IF('Inputs 2026'!D122&lt;&gt;0,'Inputs 2026'!B122/'Inputs 2026'!D122,0)</f>
        <v>0.000162000013284001</v>
      </c>
      <c r="O122" s="0" t="n">
        <f aca="false">-'Inputs 2026'!B122%*50%</f>
        <v>-0.001</v>
      </c>
      <c r="P122" s="0" t="n">
        <f aca="false">C122*2+D122</f>
        <v>1235.01771899999</v>
      </c>
      <c r="Q122" s="0" t="e">
        <f aca="false">SUM($C$2:C122)</f>
        <v>#DIV/0!</v>
      </c>
      <c r="R122" s="0" t="n">
        <f aca="false">$D$2+P122</f>
        <v>1236.69271899999</v>
      </c>
      <c r="S122" s="0" t="n">
        <f aca="false">COUNT(B122:Q122)</f>
        <v>15</v>
      </c>
      <c r="T122" s="0" t="n">
        <f aca="false">IF('Inputs 2026'!E122&gt;5,1,0)</f>
        <v>1</v>
      </c>
      <c r="U122" s="0" t="n">
        <f aca="false">IF('Inputs 2026'!E122='Inputs 2026'!D122,1,0)</f>
        <v>0</v>
      </c>
      <c r="V122" s="0" t="n">
        <f aca="false">IF('Inputs 2026'!E122,1,2)</f>
        <v>1</v>
      </c>
      <c r="W122" s="0" t="n">
        <f aca="false">IF('Inputs 2026'!B122&gt;0,IF('Inputs 2026'!C122&gt;0,1,2),3)</f>
        <v>1</v>
      </c>
      <c r="X122" s="0" t="n">
        <f aca="false">SUM('Inputs 2026'!E122,'Inputs 2026'!B122,5)</f>
        <v>30.2</v>
      </c>
      <c r="Y122" s="0" t="n">
        <f aca="false">MAX('Inputs 2026'!B122:C122,10)-MIN('Inputs 2026'!D122,'Inputs 2026'!E122)</f>
        <v>-15</v>
      </c>
    </row>
    <row r="123" customFormat="false" ht="12.8" hidden="false" customHeight="false" outlineLevel="0" collapsed="false">
      <c r="A123" s="0" t="s">
        <v>128</v>
      </c>
      <c r="B123" s="0" t="n">
        <f aca="false">'Inputs 2026'!B123+'Inputs 2026'!C123*'Inputs 2026'!D123</f>
        <v>7.355625</v>
      </c>
      <c r="C123" s="0" t="n">
        <f aca="false">('Inputs 2026'!B123-'Inputs 2026'!C123)/'Inputs 2026'!D123</f>
        <v>-0.925233644859813</v>
      </c>
      <c r="D123" s="0" t="n">
        <f aca="false">SUM('Inputs 2026'!B123:D123)</f>
        <v>5.55</v>
      </c>
      <c r="E123" s="0" t="n">
        <f aca="false">AVERAGE('Inputs 2026'!B123:E123)</f>
        <v>1.85</v>
      </c>
      <c r="F123" s="0" t="n">
        <f aca="false">MIN('Inputs 2026'!B123:E123)</f>
        <v>0.2</v>
      </c>
      <c r="G123" s="0" t="n">
        <f aca="false">MAX('Inputs 2026'!B123:E123)</f>
        <v>2.675</v>
      </c>
      <c r="H123" s="0" t="n">
        <f aca="false">COUNT('Inputs 2026'!B123:E123)</f>
        <v>3</v>
      </c>
      <c r="I123" s="0" t="n">
        <f aca="false">ROUND('Inputs 2026'!B123/7,2)</f>
        <v>0.03</v>
      </c>
      <c r="J123" s="0" t="n">
        <f aca="false">ROUND('Inputs 2026'!C123*1.005,2)</f>
        <v>2.69</v>
      </c>
      <c r="K123" s="0" t="n">
        <f aca="false">ROUND('Inputs 2026'!D123*1234.5678,-2)</f>
        <v>3300</v>
      </c>
      <c r="L123" s="0" t="n">
        <f aca="false">IF('Inputs 2026'!B123&gt;'Inputs 2026'!C123,'Inputs 2026'!B123,'Inputs 2026'!C123*2)</f>
        <v>5.35</v>
      </c>
      <c r="M123" s="0" t="n">
        <f aca="false">IF('Inputs 2026'!B123='Inputs 2026'!C123,1,0)</f>
        <v>0</v>
      </c>
      <c r="N123" s="0" t="n">
        <f aca="false">IF('Inputs 2026'!D123&lt;&gt;0,'Inputs 2026'!B123/'Inputs 2026'!D123,0)</f>
        <v>0.0747663551401869</v>
      </c>
      <c r="O123" s="0" t="n">
        <f aca="false">-'Inputs 2026'!B123%*50%</f>
        <v>-0.001</v>
      </c>
      <c r="P123" s="0" t="n">
        <f aca="false">C123*2+D123</f>
        <v>3.69953271028037</v>
      </c>
      <c r="Q123" s="0" t="e">
        <f aca="false">SUM($C$2:C123)</f>
        <v>#DIV/0!</v>
      </c>
      <c r="R123" s="0" t="n">
        <f aca="false">$D$2+P123</f>
        <v>5.37453271028037</v>
      </c>
      <c r="S123" s="0" t="n">
        <f aca="false">COUNT(B123:Q123)</f>
        <v>15</v>
      </c>
      <c r="T123" s="0" t="n">
        <f aca="false">IF('Inputs 2026'!E123&gt;5,1,0)</f>
        <v>1</v>
      </c>
      <c r="U123" s="0" t="n">
        <f aca="false">IF('Inputs 2026'!E123='Inputs 2026'!D123,1,0)</f>
        <v>0</v>
      </c>
      <c r="V123" s="0" t="e">
        <f aca="false">IF('Inputs 2026'!E123,1,2)</f>
        <v>#VALUE!</v>
      </c>
      <c r="W123" s="0" t="n">
        <f aca="false">IF('Inputs 2026'!B123&gt;0,IF('Inputs 2026'!C123&gt;0,1,2),3)</f>
        <v>1</v>
      </c>
      <c r="X123" s="0" t="n">
        <f aca="false">SUM('Inputs 2026'!E123,'Inputs 2026'!B123,5)</f>
        <v>5.2</v>
      </c>
      <c r="Y123" s="0" t="n">
        <f aca="false">MAX('Inputs 2026'!B123:C123,10)-MIN('Inputs 2026'!D123,'Inputs 2026'!E123)</f>
        <v>7.325</v>
      </c>
    </row>
    <row r="124" customFormat="false" ht="12.8" hidden="false" customHeight="false" outlineLevel="0" collapsed="false">
      <c r="A124" s="0" t="s">
        <v>129</v>
      </c>
      <c r="B124" s="0" t="n">
        <f aca="false">'Inputs 2026'!B124+'Inputs 2026'!C124*'Inputs 2026'!D124</f>
        <v>-347.25</v>
      </c>
      <c r="C124" s="0" t="n">
        <f aca="false">('Inputs 2026'!B124-'Inputs 2026'!C124)/'Inputs 2026'!D124</f>
        <v>1.20572916666667</v>
      </c>
      <c r="D124" s="0" t="n">
        <f aca="false">SUM('Inputs 2026'!B124:D124)</f>
        <v>-635.25</v>
      </c>
      <c r="E124" s="0" t="n">
        <f aca="false">AVERAGE('Inputs 2026'!B124:E124)</f>
        <v>-210.75</v>
      </c>
      <c r="F124" s="0" t="n">
        <f aca="false">MIN('Inputs 2026'!B124:E124)</f>
        <v>-347.25</v>
      </c>
      <c r="G124" s="0" t="n">
        <f aca="false">MAX('Inputs 2026'!B124:E124)</f>
        <v>3</v>
      </c>
      <c r="H124" s="0" t="n">
        <f aca="false">COUNT('Inputs 2026'!B124:E124)</f>
        <v>3</v>
      </c>
      <c r="I124" s="0" t="n">
        <f aca="false">ROUND('Inputs 2026'!B124/7,2)</f>
        <v>-49.61</v>
      </c>
      <c r="J124" s="0" t="n">
        <f aca="false">ROUND('Inputs 2026'!C124*1.005,2)</f>
        <v>0</v>
      </c>
      <c r="K124" s="0" t="n">
        <f aca="false">ROUND('Inputs 2026'!D124*1234.5678,-2)</f>
        <v>-355600</v>
      </c>
      <c r="L124" s="0" t="n">
        <f aca="false">IF('Inputs 2026'!B124&gt;'Inputs 2026'!C124,'Inputs 2026'!B124,'Inputs 2026'!C124*2)</f>
        <v>0</v>
      </c>
      <c r="M124" s="0" t="n">
        <f aca="false">IF('Inputs 2026'!B124='Inputs 2026'!C124,1,0)</f>
        <v>0</v>
      </c>
      <c r="N124" s="0" t="n">
        <f aca="false">IF('Inputs 2026'!D124&lt;&gt;0,'Inputs 2026'!B124/'Inputs 2026'!D124,0)</f>
        <v>1.20572916666667</v>
      </c>
      <c r="O124" s="0" t="n">
        <f aca="false">-'Inputs 2026'!B124%*50%</f>
        <v>1.73625</v>
      </c>
      <c r="P124" s="0" t="n">
        <f aca="false">C124*2+D124</f>
        <v>-632.838541666667</v>
      </c>
      <c r="Q124" s="0" t="e">
        <f aca="false">SUM($C$2:C124)</f>
        <v>#DIV/0!</v>
      </c>
      <c r="R124" s="0" t="n">
        <f aca="false">$D$2+P124</f>
        <v>-631.163541666667</v>
      </c>
      <c r="S124" s="0" t="n">
        <f aca="false">COUNT(B124:Q124)</f>
        <v>15</v>
      </c>
      <c r="T124" s="0" t="n">
        <f aca="false">IF('Inputs 2026'!E124&gt;5,1,0)</f>
        <v>0</v>
      </c>
      <c r="U124" s="0" t="n">
        <f aca="false">IF('Inputs 2026'!E124='Inputs 2026'!D124,1,0)</f>
        <v>0</v>
      </c>
      <c r="V124" s="0" t="n">
        <f aca="false">IF('Inputs 2026'!E124,1,2)</f>
        <v>1</v>
      </c>
      <c r="W124" s="0" t="n">
        <f aca="false">IF('Inputs 2026'!B124&gt;0,IF('Inputs 2026'!C124&gt;0,1,2),3)</f>
        <v>3</v>
      </c>
      <c r="X124" s="0" t="n">
        <f aca="false">SUM('Inputs 2026'!E124,'Inputs 2026'!B124,5)</f>
        <v>-339.25</v>
      </c>
      <c r="Y124" s="0" t="n">
        <f aca="false">MAX('Inputs 2026'!B124:C124,10)-MIN('Inputs 2026'!D124,'Inputs 2026'!E124)</f>
        <v>298</v>
      </c>
    </row>
    <row r="125" customFormat="false" ht="12.8" hidden="false" customHeight="false" outlineLevel="0" collapsed="false">
      <c r="A125" s="0" t="s">
        <v>130</v>
      </c>
      <c r="B125" s="0" t="n">
        <f aca="false">'Inputs 2026'!B125+'Inputs 2026'!C125*'Inputs 2026'!D125</f>
        <v>-24678.005322</v>
      </c>
      <c r="C125" s="0" t="n">
        <f aca="false">('Inputs 2026'!B125-'Inputs 2026'!C125)/'Inputs 2026'!D125</f>
        <v>61.7089944972486</v>
      </c>
      <c r="D125" s="0" t="n">
        <f aca="false">SUM('Inputs 2026'!B125:D125)</f>
        <v>1215.5828</v>
      </c>
      <c r="E125" s="0" t="n">
        <f aca="false">AVERAGE('Inputs 2026'!B125:E125)</f>
        <v>405.194266666667</v>
      </c>
      <c r="F125" s="0" t="n">
        <f aca="false">MIN('Inputs 2026'!B125:E125)</f>
        <v>-19.99</v>
      </c>
      <c r="G125" s="0" t="n">
        <f aca="false">MAX('Inputs 2026'!B125:E125)</f>
        <v>1234.5678</v>
      </c>
      <c r="H125" s="0" t="n">
        <f aca="false">COUNT('Inputs 2026'!B125:E125)</f>
        <v>3</v>
      </c>
      <c r="I125" s="0" t="n">
        <f aca="false">ROUND('Inputs 2026'!B125/7,2)</f>
        <v>0.14</v>
      </c>
      <c r="J125" s="0" t="n">
        <f aca="false">ROUND('Inputs 2026'!C125*1.005,2)</f>
        <v>1240.74</v>
      </c>
      <c r="K125" s="0" t="n">
        <f aca="false">ROUND('Inputs 2026'!D125*1234.5678,-2)</f>
        <v>-24700</v>
      </c>
      <c r="L125" s="0" t="n">
        <f aca="false">IF('Inputs 2026'!B125&gt;'Inputs 2026'!C125,'Inputs 2026'!B125,'Inputs 2026'!C125*2)</f>
        <v>2469.1356</v>
      </c>
      <c r="M125" s="0" t="n">
        <f aca="false">IF('Inputs 2026'!B125='Inputs 2026'!C125,1,0)</f>
        <v>0</v>
      </c>
      <c r="N125" s="0" t="n">
        <f aca="false">IF('Inputs 2026'!D125&lt;&gt;0,'Inputs 2026'!B125/'Inputs 2026'!D125,0)</f>
        <v>-0.0502751375687844</v>
      </c>
      <c r="O125" s="0" t="n">
        <f aca="false">-'Inputs 2026'!B125%*50%</f>
        <v>-0.005025</v>
      </c>
      <c r="P125" s="0" t="n">
        <f aca="false">C125*2+D125</f>
        <v>1339.0007889945</v>
      </c>
      <c r="Q125" s="0" t="e">
        <f aca="false">SUM($C$2:C125)</f>
        <v>#DIV/0!</v>
      </c>
      <c r="R125" s="0" t="n">
        <f aca="false">$D$2+P125</f>
        <v>1340.6757889945</v>
      </c>
      <c r="S125" s="0" t="n">
        <f aca="false">COUNT(B125:Q125)</f>
        <v>15</v>
      </c>
      <c r="T125" s="0" t="n">
        <f aca="false">IF('Inputs 2026'!E125&gt;5,1,0)</f>
        <v>1</v>
      </c>
      <c r="U125" s="0" t="n">
        <f aca="false">IF('Inputs 2026'!E125='Inputs 2026'!D125,1,0)</f>
        <v>0</v>
      </c>
      <c r="V125" s="0" t="e">
        <f aca="false">IF('Inputs 2026'!E125,1,2)</f>
        <v>#VALUE!</v>
      </c>
      <c r="W125" s="0" t="n">
        <f aca="false">IF('Inputs 2026'!B125&gt;0,IF('Inputs 2026'!C125&gt;0,1,2),3)</f>
        <v>1</v>
      </c>
      <c r="X125" s="0" t="n">
        <f aca="false">SUM('Inputs 2026'!E125,'Inputs 2026'!B125,5)</f>
        <v>6.005</v>
      </c>
      <c r="Y125" s="0" t="n">
        <f aca="false">MAX('Inputs 2026'!B125:C125,10)-MIN('Inputs 2026'!D125,'Inputs 2026'!E125)</f>
        <v>1254.5578</v>
      </c>
    </row>
    <row r="126" customFormat="false" ht="12.8" hidden="false" customHeight="false" outlineLevel="0" collapsed="false">
      <c r="A126" s="0" t="s">
        <v>131</v>
      </c>
      <c r="B126" s="0" t="n">
        <f aca="false">'Inputs 2026'!B126+'Inputs 2026'!C126*'Inputs 2026'!D126</f>
        <v>2.675</v>
      </c>
      <c r="C126" s="0" t="e">
        <f aca="false">('Inputs 2026'!B126-'Inputs 2026'!C126)/'Inputs 2026'!D126</f>
        <v>#DIV/0!</v>
      </c>
      <c r="D126" s="0" t="n">
        <f aca="false">SUM('Inputs 2026'!B126:D126)</f>
        <v>3.68</v>
      </c>
      <c r="E126" s="0" t="n">
        <f aca="false">AVERAGE('Inputs 2026'!B126:E126)</f>
        <v>1.84</v>
      </c>
      <c r="F126" s="0" t="n">
        <f aca="false">MIN('Inputs 2026'!B126:E126)</f>
        <v>1.005</v>
      </c>
      <c r="G126" s="0" t="n">
        <f aca="false">MAX('Inputs 2026'!B126:E126)</f>
        <v>2.675</v>
      </c>
      <c r="H126" s="0" t="n">
        <f aca="false">COUNT('Inputs 2026'!B126:E126)</f>
        <v>2</v>
      </c>
      <c r="I126" s="0" t="n">
        <f aca="false">ROUND('Inputs 2026'!B126/7,2)</f>
        <v>0.38</v>
      </c>
      <c r="J126" s="0" t="n">
        <f aca="false">ROUND('Inputs 2026'!C126*1.005,2)</f>
        <v>1.01</v>
      </c>
      <c r="K126" s="0" t="n">
        <f aca="false">ROUND('Inputs 2026'!D126*1234.5678,-2)</f>
        <v>0</v>
      </c>
      <c r="L126" s="0" t="n">
        <f aca="false">IF('Inputs 2026'!B126&gt;'Inputs 2026'!C126,'Inputs 2026'!B126,'Inputs 2026'!C126*2)</f>
        <v>2.675</v>
      </c>
      <c r="M126" s="0" t="n">
        <f aca="false">IF('Inputs 2026'!B126='Inputs 2026'!C126,1,0)</f>
        <v>0</v>
      </c>
      <c r="N126" s="0" t="n">
        <f aca="false">IF('Inputs 2026'!D126&lt;&gt;0,'Inputs 2026'!B126/'Inputs 2026'!D126,0)</f>
        <v>0</v>
      </c>
      <c r="O126" s="0" t="n">
        <f aca="false">-'Inputs 2026'!B126%*50%</f>
        <v>-0.013375</v>
      </c>
      <c r="P126" s="0" t="e">
        <f aca="false">C126*2+D126</f>
        <v>#DIV/0!</v>
      </c>
      <c r="Q126" s="0" t="e">
        <f aca="false">SUM($C$2:C126)</f>
        <v>#DIV/0!</v>
      </c>
      <c r="R126" s="0" t="e">
        <f aca="false">$D$2+P126</f>
        <v>#DIV/0!</v>
      </c>
      <c r="S126" s="0" t="n">
        <f aca="false">COUNT(B126:Q126)</f>
        <v>13</v>
      </c>
      <c r="T126" s="0" t="n">
        <f aca="false">IF('Inputs 2026'!E126&gt;5,1,0)</f>
        <v>0</v>
      </c>
      <c r="U126" s="0" t="n">
        <f aca="false">IF('Inputs 2026'!E126='Inputs 2026'!D126,1,0)</f>
        <v>1</v>
      </c>
      <c r="V126" s="0" t="n">
        <f aca="false">IF('Inputs 2026'!E126,1,2)</f>
        <v>2</v>
      </c>
      <c r="W126" s="0" t="n">
        <f aca="false">IF('Inputs 2026'!B126&gt;0,IF('Inputs 2026'!C126&gt;0,1,2),3)</f>
        <v>1</v>
      </c>
      <c r="X126" s="0" t="n">
        <f aca="false">SUM('Inputs 2026'!E126,'Inputs 2026'!B126,5)</f>
        <v>7.675</v>
      </c>
      <c r="Y126" s="0" t="n">
        <f aca="false">MAX('Inputs 2026'!B126:C126,10)-MIN('Inputs 2026'!D126,'Inputs 2026'!E126)</f>
        <v>10</v>
      </c>
    </row>
    <row r="127" customFormat="false" ht="12.8" hidden="false" customHeight="false" outlineLevel="0" collapsed="false">
      <c r="A127" s="0" t="s">
        <v>132</v>
      </c>
      <c r="B127" s="0" t="n">
        <f aca="false">'Inputs 2026'!B127+'Inputs 2026'!C127*'Inputs 2026'!D127</f>
        <v>25</v>
      </c>
      <c r="C127" s="0" t="n">
        <f aca="false">('Inputs 2026'!B127-'Inputs 2026'!C127)/'Inputs 2026'!D127</f>
        <v>0.0202500016605001</v>
      </c>
      <c r="D127" s="0" t="n">
        <f aca="false">SUM('Inputs 2026'!B127:D127)</f>
        <v>1259.5678</v>
      </c>
      <c r="E127" s="0" t="n">
        <f aca="false">AVERAGE('Inputs 2026'!B127:E127)</f>
        <v>315.64195</v>
      </c>
      <c r="F127" s="0" t="n">
        <f aca="false">MIN('Inputs 2026'!B127:E127)</f>
        <v>0</v>
      </c>
      <c r="G127" s="0" t="n">
        <f aca="false">MAX('Inputs 2026'!B127:E127)</f>
        <v>1234.5678</v>
      </c>
      <c r="H127" s="0" t="n">
        <f aca="false">COUNT('Inputs 2026'!B127:E127)</f>
        <v>4</v>
      </c>
      <c r="I127" s="0" t="n">
        <f aca="false">ROUND('Inputs 2026'!B127/7,2)</f>
        <v>3.57</v>
      </c>
      <c r="J127" s="0" t="n">
        <f aca="false">ROUND('Inputs 2026'!C127*1.005,2)</f>
        <v>0</v>
      </c>
      <c r="K127" s="0" t="n">
        <f aca="false">ROUND('Inputs 2026'!D127*1234.5678,-2)</f>
        <v>1524200</v>
      </c>
      <c r="L127" s="0" t="n">
        <f aca="false">IF('Inputs 2026'!B127&gt;'Inputs 2026'!C127,'Inputs 2026'!B127,'Inputs 2026'!C127*2)</f>
        <v>25</v>
      </c>
      <c r="M127" s="0" t="n">
        <f aca="false">IF('Inputs 2026'!B127='Inputs 2026'!C127,1,0)</f>
        <v>0</v>
      </c>
      <c r="N127" s="0" t="n">
        <f aca="false">IF('Inputs 2026'!D127&lt;&gt;0,'Inputs 2026'!B127/'Inputs 2026'!D127,0)</f>
        <v>0.0202500016605001</v>
      </c>
      <c r="O127" s="0" t="n">
        <f aca="false">-'Inputs 2026'!B127%*50%</f>
        <v>-0.125</v>
      </c>
      <c r="P127" s="0" t="n">
        <f aca="false">C127*2+D127</f>
        <v>1259.60830000332</v>
      </c>
      <c r="Q127" s="0" t="e">
        <f aca="false">SUM($C$2:C127)</f>
        <v>#DIV/0!</v>
      </c>
      <c r="R127" s="0" t="n">
        <f aca="false">$D$2+P127</f>
        <v>1261.28330000332</v>
      </c>
      <c r="S127" s="0" t="n">
        <f aca="false">COUNT(B127:Q127)</f>
        <v>15</v>
      </c>
      <c r="T127" s="0" t="n">
        <f aca="false">IF('Inputs 2026'!E127&gt;5,1,0)</f>
        <v>0</v>
      </c>
      <c r="U127" s="0" t="n">
        <f aca="false">IF('Inputs 2026'!E127='Inputs 2026'!D127,1,0)</f>
        <v>0</v>
      </c>
      <c r="V127" s="0" t="n">
        <f aca="false">IF('Inputs 2026'!E127,1,2)</f>
        <v>1</v>
      </c>
      <c r="W127" s="0" t="n">
        <f aca="false">IF('Inputs 2026'!B127&gt;0,IF('Inputs 2026'!C127&gt;0,1,2),3)</f>
        <v>2</v>
      </c>
      <c r="X127" s="0" t="n">
        <f aca="false">SUM('Inputs 2026'!E127,'Inputs 2026'!B127,5)</f>
        <v>33</v>
      </c>
      <c r="Y127" s="0" t="n">
        <f aca="false">MAX('Inputs 2026'!B127:C127,10)-MIN('Inputs 2026'!D127,'Inputs 2026'!E127)</f>
        <v>22</v>
      </c>
    </row>
    <row r="128" customFormat="false" ht="12.8" hidden="false" customHeight="false" outlineLevel="0" collapsed="false">
      <c r="A128" s="0" t="s">
        <v>133</v>
      </c>
      <c r="B128" s="0" t="n">
        <f aca="false">'Inputs 2026'!B128+'Inputs 2026'!C128*'Inputs 2026'!D128</f>
        <v>1234.81905</v>
      </c>
      <c r="C128" s="0" t="n">
        <f aca="false">('Inputs 2026'!B128-'Inputs 2026'!C128)/'Inputs 2026'!D128</f>
        <v>4934.2512</v>
      </c>
      <c r="D128" s="0" t="n">
        <f aca="false">SUM('Inputs 2026'!B128:D128)</f>
        <v>1235.8228</v>
      </c>
      <c r="E128" s="0" t="n">
        <f aca="false">AVERAGE('Inputs 2026'!B128:E128)</f>
        <v>411.940933333333</v>
      </c>
      <c r="F128" s="0" t="n">
        <f aca="false">MIN('Inputs 2026'!B128:E128)</f>
        <v>0.25</v>
      </c>
      <c r="G128" s="0" t="n">
        <f aca="false">MAX('Inputs 2026'!B128:E128)</f>
        <v>1234.5678</v>
      </c>
      <c r="H128" s="0" t="n">
        <f aca="false">COUNT('Inputs 2026'!B128:E128)</f>
        <v>3</v>
      </c>
      <c r="I128" s="0" t="n">
        <f aca="false">ROUND('Inputs 2026'!B128/7,2)</f>
        <v>176.37</v>
      </c>
      <c r="J128" s="0" t="n">
        <f aca="false">ROUND('Inputs 2026'!C128*1.005,2)</f>
        <v>1.01</v>
      </c>
      <c r="K128" s="0" t="n">
        <f aca="false">ROUND('Inputs 2026'!D128*1234.5678,-2)</f>
        <v>300</v>
      </c>
      <c r="L128" s="0" t="n">
        <f aca="false">IF('Inputs 2026'!B128&gt;'Inputs 2026'!C128,'Inputs 2026'!B128,'Inputs 2026'!C128*2)</f>
        <v>1234.5678</v>
      </c>
      <c r="M128" s="0" t="n">
        <f aca="false">IF('Inputs 2026'!B128='Inputs 2026'!C128,1,0)</f>
        <v>0</v>
      </c>
      <c r="N128" s="0" t="n">
        <f aca="false">IF('Inputs 2026'!D128&lt;&gt;0,'Inputs 2026'!B128/'Inputs 2026'!D128,0)</f>
        <v>4938.2712</v>
      </c>
      <c r="O128" s="0" t="n">
        <f aca="false">-'Inputs 2026'!B128%*50%</f>
        <v>-6.172839</v>
      </c>
      <c r="P128" s="0" t="n">
        <f aca="false">C128*2+D128</f>
        <v>11104.3252</v>
      </c>
      <c r="Q128" s="0" t="e">
        <f aca="false">SUM($C$2:C128)</f>
        <v>#DIV/0!</v>
      </c>
      <c r="R128" s="0" t="n">
        <f aca="false">$D$2+P128</f>
        <v>11106.0002</v>
      </c>
      <c r="S128" s="0" t="n">
        <f aca="false">COUNT(B128:Q128)</f>
        <v>15</v>
      </c>
      <c r="T128" s="0" t="n">
        <f aca="false">IF('Inputs 2026'!E128&gt;5,1,0)</f>
        <v>1</v>
      </c>
      <c r="U128" s="0" t="n">
        <f aca="false">IF('Inputs 2026'!E128='Inputs 2026'!D128,1,0)</f>
        <v>0</v>
      </c>
      <c r="V128" s="0" t="e">
        <f aca="false">IF('Inputs 2026'!E128,1,2)</f>
        <v>#VALUE!</v>
      </c>
      <c r="W128" s="0" t="n">
        <f aca="false">IF('Inputs 2026'!B128&gt;0,IF('Inputs 2026'!C128&gt;0,1,2),3)</f>
        <v>1</v>
      </c>
      <c r="X128" s="0" t="n">
        <f aca="false">SUM('Inputs 2026'!E128,'Inputs 2026'!B128,5)</f>
        <v>1239.5678</v>
      </c>
      <c r="Y128" s="0" t="n">
        <f aca="false">MAX('Inputs 2026'!B128:C128,10)-MIN('Inputs 2026'!D128,'Inputs 2026'!E128)</f>
        <v>1234.3178</v>
      </c>
    </row>
    <row r="129" customFormat="false" ht="12.8" hidden="false" customHeight="false" outlineLevel="0" collapsed="false">
      <c r="A129" s="0" t="s">
        <v>134</v>
      </c>
      <c r="B129" s="0" t="n">
        <f aca="false">'Inputs 2026'!B129+'Inputs 2026'!C129*'Inputs 2026'!D129</f>
        <v>1234.5678</v>
      </c>
      <c r="C129" s="0" t="e">
        <f aca="false">('Inputs 2026'!B129-'Inputs 2026'!C129)/'Inputs 2026'!D129</f>
        <v>#DIV/0!</v>
      </c>
      <c r="D129" s="0" t="n">
        <f aca="false">SUM('Inputs 2026'!B129:D129)</f>
        <v>1334.5678</v>
      </c>
      <c r="E129" s="0" t="n">
        <f aca="false">AVERAGE('Inputs 2026'!B129:E129)</f>
        <v>444.855933333333</v>
      </c>
      <c r="F129" s="0" t="n">
        <f aca="false">MIN('Inputs 2026'!B129:E129)</f>
        <v>0</v>
      </c>
      <c r="G129" s="0" t="n">
        <f aca="false">MAX('Inputs 2026'!B129:E129)</f>
        <v>1234.5678</v>
      </c>
      <c r="H129" s="0" t="n">
        <f aca="false">COUNT('Inputs 2026'!B129:E129)</f>
        <v>3</v>
      </c>
      <c r="I129" s="0" t="n">
        <f aca="false">ROUND('Inputs 2026'!B129/7,2)</f>
        <v>176.37</v>
      </c>
      <c r="J129" s="0" t="n">
        <f aca="false">ROUND('Inputs 2026'!C129*1.005,2)</f>
        <v>100.5</v>
      </c>
      <c r="K129" s="0" t="n">
        <f aca="false">ROUND('Inputs 2026'!D129*1234.5678,-2)</f>
        <v>0</v>
      </c>
      <c r="L129" s="0" t="n">
        <f aca="false">IF('Inputs 2026'!B129&gt;'Inputs 2026'!C129,'Inputs 2026'!B129,'Inputs 2026'!C129*2)</f>
        <v>1234.5678</v>
      </c>
      <c r="M129" s="0" t="n">
        <f aca="false">IF('Inputs 2026'!B129='Inputs 2026'!C129,1,0)</f>
        <v>0</v>
      </c>
      <c r="N129" s="0" t="n">
        <f aca="false">IF('Inputs 2026'!D129&lt;&gt;0,'Inputs 2026'!B129/'Inputs 2026'!D129,0)</f>
        <v>0</v>
      </c>
      <c r="O129" s="0" t="n">
        <f aca="false">-'Inputs 2026'!B129%*50%</f>
        <v>-6.172839</v>
      </c>
      <c r="P129" s="0" t="e">
        <f aca="false">C129*2+D129</f>
        <v>#DIV/0!</v>
      </c>
      <c r="Q129" s="0" t="e">
        <f aca="false">SUM($C$2:C129)</f>
        <v>#DIV/0!</v>
      </c>
      <c r="R129" s="0" t="e">
        <f aca="false">$D$2+P129</f>
        <v>#DIV/0!</v>
      </c>
      <c r="S129" s="0" t="n">
        <f aca="false">COUNT(B129:Q129)</f>
        <v>13</v>
      </c>
      <c r="T129" s="0" t="n">
        <f aca="false">IF('Inputs 2026'!E129&gt;5,1,0)</f>
        <v>0</v>
      </c>
      <c r="U129" s="0" t="n">
        <f aca="false">IF('Inputs 2026'!E129='Inputs 2026'!D129,1,0)</f>
        <v>1</v>
      </c>
      <c r="V129" s="0" t="n">
        <f aca="false">IF('Inputs 2026'!E129,1,2)</f>
        <v>2</v>
      </c>
      <c r="W129" s="0" t="n">
        <f aca="false">IF('Inputs 2026'!B129&gt;0,IF('Inputs 2026'!C129&gt;0,1,2),3)</f>
        <v>1</v>
      </c>
      <c r="X129" s="0" t="n">
        <f aca="false">SUM('Inputs 2026'!E129,'Inputs 2026'!B129,5)</f>
        <v>1239.5678</v>
      </c>
      <c r="Y129" s="0" t="n">
        <f aca="false">MAX('Inputs 2026'!B129:C129,10)-MIN('Inputs 2026'!D129,'Inputs 2026'!E129)</f>
        <v>1234.5678</v>
      </c>
    </row>
    <row r="130" customFormat="false" ht="12.8" hidden="false" customHeight="false" outlineLevel="0" collapsed="false">
      <c r="A130" s="0" t="s">
        <v>135</v>
      </c>
      <c r="B130" s="0" t="n">
        <f aca="false">'Inputs 2026'!B130+'Inputs 2026'!C130*'Inputs 2026'!D130</f>
        <v>10</v>
      </c>
      <c r="C130" s="0" t="n">
        <f aca="false">('Inputs 2026'!B130-'Inputs 2026'!C130)/'Inputs 2026'!D130</f>
        <v>4</v>
      </c>
      <c r="D130" s="0" t="n">
        <f aca="false">SUM('Inputs 2026'!B130:D130)</f>
        <v>11</v>
      </c>
      <c r="E130" s="0" t="n">
        <f aca="false">AVERAGE('Inputs 2026'!B130:E130)</f>
        <v>3.66666666666667</v>
      </c>
      <c r="F130" s="0" t="n">
        <f aca="false">MIN('Inputs 2026'!B130:E130)</f>
        <v>1</v>
      </c>
      <c r="G130" s="0" t="n">
        <f aca="false">MAX('Inputs 2026'!B130:E130)</f>
        <v>7</v>
      </c>
      <c r="H130" s="0" t="n">
        <f aca="false">COUNT('Inputs 2026'!B130:E130)</f>
        <v>3</v>
      </c>
      <c r="I130" s="0" t="n">
        <f aca="false">ROUND('Inputs 2026'!B130/7,2)</f>
        <v>1</v>
      </c>
      <c r="J130" s="0" t="n">
        <f aca="false">ROUND('Inputs 2026'!C130*1.005,2)</f>
        <v>3.02</v>
      </c>
      <c r="K130" s="0" t="n">
        <f aca="false">ROUND('Inputs 2026'!D130*1234.5678,-2)</f>
        <v>1200</v>
      </c>
      <c r="L130" s="0" t="n">
        <f aca="false">IF('Inputs 2026'!B130&gt;'Inputs 2026'!C130,'Inputs 2026'!B130,'Inputs 2026'!C130*2)</f>
        <v>7</v>
      </c>
      <c r="M130" s="0" t="n">
        <f aca="false">IF('Inputs 2026'!B130='Inputs 2026'!C130,1,0)</f>
        <v>0</v>
      </c>
      <c r="N130" s="0" t="n">
        <f aca="false">IF('Inputs 2026'!D130&lt;&gt;0,'Inputs 2026'!B130/'Inputs 2026'!D130,0)</f>
        <v>7</v>
      </c>
      <c r="O130" s="0" t="n">
        <f aca="false">-'Inputs 2026'!B130%*50%</f>
        <v>-0.035</v>
      </c>
      <c r="P130" s="0" t="n">
        <f aca="false">C130*2+D130</f>
        <v>19</v>
      </c>
      <c r="Q130" s="0" t="e">
        <f aca="false">SUM($C$2:C130)</f>
        <v>#DIV/0!</v>
      </c>
      <c r="R130" s="0" t="n">
        <f aca="false">$D$2+P130</f>
        <v>20.675</v>
      </c>
      <c r="S130" s="0" t="n">
        <f aca="false">COUNT(B130:Q130)</f>
        <v>15</v>
      </c>
      <c r="T130" s="0" t="n">
        <f aca="false">IF('Inputs 2026'!E130&gt;5,1,0)</f>
        <v>0</v>
      </c>
      <c r="U130" s="0" t="n">
        <f aca="false">IF('Inputs 2026'!E130='Inputs 2026'!D130,1,0)</f>
        <v>0</v>
      </c>
      <c r="V130" s="0" t="n">
        <f aca="false">IF('Inputs 2026'!E130,1,2)</f>
        <v>2</v>
      </c>
      <c r="W130" s="0" t="n">
        <f aca="false">IF('Inputs 2026'!B130&gt;0,IF('Inputs 2026'!C130&gt;0,1,2),3)</f>
        <v>1</v>
      </c>
      <c r="X130" s="0" t="n">
        <f aca="false">SUM('Inputs 2026'!E130,'Inputs 2026'!B130,5)</f>
        <v>12</v>
      </c>
      <c r="Y130" s="0" t="n">
        <f aca="false">MAX('Inputs 2026'!B130:C130,10)-MIN('Inputs 2026'!D130,'Inputs 2026'!E130)</f>
        <v>9</v>
      </c>
    </row>
    <row r="131" customFormat="false" ht="12.8" hidden="false" customHeight="false" outlineLevel="0" collapsed="false">
      <c r="A131" s="0" t="s">
        <v>136</v>
      </c>
      <c r="B131" s="0" t="n">
        <f aca="false">'Inputs 2026'!B131+'Inputs 2026'!C131*'Inputs 2026'!D131</f>
        <v>-2.475</v>
      </c>
      <c r="C131" s="0" t="n">
        <f aca="false">('Inputs 2026'!B131-'Inputs 2026'!C131)/'Inputs 2026'!D131</f>
        <v>2.475</v>
      </c>
      <c r="D131" s="0" t="n">
        <f aca="false">SUM('Inputs 2026'!B131:D131)</f>
        <v>1.875</v>
      </c>
      <c r="E131" s="0" t="n">
        <f aca="false">AVERAGE('Inputs 2026'!B131:E131)</f>
        <v>0.625</v>
      </c>
      <c r="F131" s="0" t="n">
        <f aca="false">MIN('Inputs 2026'!B131:E131)</f>
        <v>-1</v>
      </c>
      <c r="G131" s="0" t="n">
        <f aca="false">MAX('Inputs 2026'!B131:E131)</f>
        <v>2.675</v>
      </c>
      <c r="H131" s="0" t="n">
        <f aca="false">COUNT('Inputs 2026'!B131:E131)</f>
        <v>3</v>
      </c>
      <c r="I131" s="0" t="n">
        <f aca="false">ROUND('Inputs 2026'!B131/7,2)</f>
        <v>0.03</v>
      </c>
      <c r="J131" s="0" t="n">
        <f aca="false">ROUND('Inputs 2026'!C131*1.005,2)</f>
        <v>2.69</v>
      </c>
      <c r="K131" s="0" t="n">
        <f aca="false">ROUND('Inputs 2026'!D131*1234.5678,-2)</f>
        <v>-1200</v>
      </c>
      <c r="L131" s="0" t="n">
        <f aca="false">IF('Inputs 2026'!B131&gt;'Inputs 2026'!C131,'Inputs 2026'!B131,'Inputs 2026'!C131*2)</f>
        <v>5.35</v>
      </c>
      <c r="M131" s="0" t="n">
        <f aca="false">IF('Inputs 2026'!B131='Inputs 2026'!C131,1,0)</f>
        <v>0</v>
      </c>
      <c r="N131" s="0" t="n">
        <f aca="false">IF('Inputs 2026'!D131&lt;&gt;0,'Inputs 2026'!B131/'Inputs 2026'!D131,0)</f>
        <v>-0.2</v>
      </c>
      <c r="O131" s="0" t="n">
        <f aca="false">-'Inputs 2026'!B131%*50%</f>
        <v>-0.001</v>
      </c>
      <c r="P131" s="0" t="n">
        <f aca="false">C131*2+D131</f>
        <v>6.825</v>
      </c>
      <c r="Q131" s="0" t="e">
        <f aca="false">SUM($C$2:C131)</f>
        <v>#DIV/0!</v>
      </c>
      <c r="R131" s="0" t="n">
        <f aca="false">$D$2+P131</f>
        <v>8.5</v>
      </c>
      <c r="S131" s="0" t="n">
        <f aca="false">COUNT(B131:Q131)</f>
        <v>15</v>
      </c>
      <c r="T131" s="0" t="n">
        <f aca="false">IF('Inputs 2026'!E131&gt;5,1,0)</f>
        <v>1</v>
      </c>
      <c r="U131" s="0" t="n">
        <f aca="false">IF('Inputs 2026'!E131='Inputs 2026'!D131,1,0)</f>
        <v>0</v>
      </c>
      <c r="V131" s="0" t="e">
        <f aca="false">IF('Inputs 2026'!E131,1,2)</f>
        <v>#VALUE!</v>
      </c>
      <c r="W131" s="0" t="n">
        <f aca="false">IF('Inputs 2026'!B131&gt;0,IF('Inputs 2026'!C131&gt;0,1,2),3)</f>
        <v>1</v>
      </c>
      <c r="X131" s="0" t="n">
        <f aca="false">SUM('Inputs 2026'!E131,'Inputs 2026'!B131,5)</f>
        <v>5.2</v>
      </c>
      <c r="Y131" s="0" t="n">
        <f aca="false">MAX('Inputs 2026'!B131:C131,10)-MIN('Inputs 2026'!D131,'Inputs 2026'!E131)</f>
        <v>11</v>
      </c>
    </row>
    <row r="132" customFormat="false" ht="12.8" hidden="false" customHeight="false" outlineLevel="0" collapsed="false">
      <c r="A132" s="0" t="s">
        <v>137</v>
      </c>
      <c r="B132" s="0" t="n">
        <f aca="false">'Inputs 2026'!B132+'Inputs 2026'!C132*'Inputs 2026'!D132</f>
        <v>75</v>
      </c>
      <c r="C132" s="0" t="n">
        <f aca="false">('Inputs 2026'!B132-'Inputs 2026'!C132)/'Inputs 2026'!D132</f>
        <v>-0.000533333333333333</v>
      </c>
      <c r="D132" s="0" t="n">
        <f aca="false">SUM('Inputs 2026'!B132:D132)</f>
        <v>375.2</v>
      </c>
      <c r="E132" s="0" t="n">
        <f aca="false">AVERAGE('Inputs 2026'!B132:E132)</f>
        <v>125.066666666667</v>
      </c>
      <c r="F132" s="0" t="n">
        <f aca="false">MIN('Inputs 2026'!B132:E132)</f>
        <v>0</v>
      </c>
      <c r="G132" s="0" t="n">
        <f aca="false">MAX('Inputs 2026'!B132:E132)</f>
        <v>375</v>
      </c>
      <c r="H132" s="0" t="n">
        <f aca="false">COUNT('Inputs 2026'!B132:E132)</f>
        <v>3</v>
      </c>
      <c r="I132" s="0" t="n">
        <f aca="false">ROUND('Inputs 2026'!B132/7,2)</f>
        <v>0</v>
      </c>
      <c r="J132" s="0" t="n">
        <f aca="false">ROUND('Inputs 2026'!C132*1.005,2)</f>
        <v>0.2</v>
      </c>
      <c r="K132" s="0" t="n">
        <f aca="false">ROUND('Inputs 2026'!D132*1234.5678,-2)</f>
        <v>463000</v>
      </c>
      <c r="L132" s="0" t="n">
        <f aca="false">IF('Inputs 2026'!B132&gt;'Inputs 2026'!C132,'Inputs 2026'!B132,'Inputs 2026'!C132*2)</f>
        <v>0.4</v>
      </c>
      <c r="M132" s="0" t="n">
        <f aca="false">IF('Inputs 2026'!B132='Inputs 2026'!C132,1,0)</f>
        <v>0</v>
      </c>
      <c r="N132" s="0" t="n">
        <f aca="false">IF('Inputs 2026'!D132&lt;&gt;0,'Inputs 2026'!B132/'Inputs 2026'!D132,0)</f>
        <v>0</v>
      </c>
      <c r="O132" s="0" t="n">
        <f aca="false">-'Inputs 2026'!B132%*50%</f>
        <v>-0</v>
      </c>
      <c r="P132" s="0" t="n">
        <f aca="false">C132*2+D132</f>
        <v>375.198933333333</v>
      </c>
      <c r="Q132" s="0" t="e">
        <f aca="false">SUM($C$2:C132)</f>
        <v>#DIV/0!</v>
      </c>
      <c r="R132" s="0" t="n">
        <f aca="false">$D$2+P132</f>
        <v>376.873933333333</v>
      </c>
      <c r="S132" s="0" t="n">
        <f aca="false">COUNT(B132:Q132)</f>
        <v>15</v>
      </c>
      <c r="T132" s="0" t="n">
        <f aca="false">IF('Inputs 2026'!E132&gt;5,1,0)</f>
        <v>0</v>
      </c>
      <c r="U132" s="0" t="n">
        <f aca="false">IF('Inputs 2026'!E132='Inputs 2026'!D132,1,0)</f>
        <v>0</v>
      </c>
      <c r="V132" s="0" t="n">
        <f aca="false">IF('Inputs 2026'!E132,1,2)</f>
        <v>2</v>
      </c>
      <c r="W132" s="0" t="n">
        <f aca="false">IF('Inputs 2026'!B132&gt;0,IF('Inputs 2026'!C132&gt;0,1,2),3)</f>
        <v>3</v>
      </c>
      <c r="X132" s="0" t="n">
        <f aca="false">SUM('Inputs 2026'!E132,'Inputs 2026'!B132,5)</f>
        <v>5</v>
      </c>
      <c r="Y132" s="0" t="n">
        <f aca="false">MAX('Inputs 2026'!B132:C132,10)-MIN('Inputs 2026'!D132,'Inputs 2026'!E132)</f>
        <v>-365</v>
      </c>
    </row>
    <row r="133" customFormat="false" ht="12.8" hidden="false" customHeight="false" outlineLevel="0" collapsed="false">
      <c r="A133" s="0" t="s">
        <v>138</v>
      </c>
      <c r="B133" s="0" t="n">
        <f aca="false">'Inputs 2026'!B133+'Inputs 2026'!C133*'Inputs 2026'!D133</f>
        <v>1234.5678</v>
      </c>
      <c r="C133" s="0" t="n">
        <f aca="false">('Inputs 2026'!B133-'Inputs 2026'!C133)/'Inputs 2026'!D133</f>
        <v>12.345678</v>
      </c>
      <c r="D133" s="0" t="n">
        <f aca="false">SUM('Inputs 2026'!B133:D133)</f>
        <v>1334.5678</v>
      </c>
      <c r="E133" s="0" t="n">
        <f aca="false">AVERAGE('Inputs 2026'!B133:E133)</f>
        <v>462.54945</v>
      </c>
      <c r="F133" s="0" t="n">
        <f aca="false">MIN('Inputs 2026'!B133:E133)</f>
        <v>0</v>
      </c>
      <c r="G133" s="0" t="n">
        <f aca="false">MAX('Inputs 2026'!B133:E133)</f>
        <v>1234.5678</v>
      </c>
      <c r="H133" s="0" t="n">
        <f aca="false">COUNT('Inputs 2026'!B133:E133)</f>
        <v>4</v>
      </c>
      <c r="I133" s="0" t="n">
        <f aca="false">ROUND('Inputs 2026'!B133/7,2)</f>
        <v>176.37</v>
      </c>
      <c r="J133" s="0" t="n">
        <f aca="false">ROUND('Inputs 2026'!C133*1.005,2)</f>
        <v>0</v>
      </c>
      <c r="K133" s="0" t="n">
        <f aca="false">ROUND('Inputs 2026'!D133*1234.5678,-2)</f>
        <v>123500</v>
      </c>
      <c r="L133" s="0" t="n">
        <f aca="false">IF('Inputs 2026'!B133&gt;'Inputs 2026'!C133,'Inputs 2026'!B133,'Inputs 2026'!C133*2)</f>
        <v>1234.5678</v>
      </c>
      <c r="M133" s="0" t="n">
        <f aca="false">IF('Inputs 2026'!B133='Inputs 2026'!C133,1,0)</f>
        <v>0</v>
      </c>
      <c r="N133" s="0" t="n">
        <f aca="false">IF('Inputs 2026'!D133&lt;&gt;0,'Inputs 2026'!B133/'Inputs 2026'!D133,0)</f>
        <v>12.345678</v>
      </c>
      <c r="O133" s="0" t="n">
        <f aca="false">-'Inputs 2026'!B133%*50%</f>
        <v>-6.172839</v>
      </c>
      <c r="P133" s="0" t="n">
        <f aca="false">C133*2+D133</f>
        <v>1359.259156</v>
      </c>
      <c r="Q133" s="0" t="e">
        <f aca="false">SUM($C$2:C133)</f>
        <v>#DIV/0!</v>
      </c>
      <c r="R133" s="0" t="n">
        <f aca="false">$D$2+P133</f>
        <v>1360.934156</v>
      </c>
      <c r="S133" s="0" t="n">
        <f aca="false">COUNT(B133:Q133)</f>
        <v>15</v>
      </c>
      <c r="T133" s="0" t="n">
        <f aca="false">IF('Inputs 2026'!E133&gt;5,1,0)</f>
        <v>1</v>
      </c>
      <c r="U133" s="0" t="n">
        <f aca="false">IF('Inputs 2026'!E133='Inputs 2026'!D133,1,0)</f>
        <v>0</v>
      </c>
      <c r="V133" s="0" t="n">
        <f aca="false">IF('Inputs 2026'!E133,1,2)</f>
        <v>1</v>
      </c>
      <c r="W133" s="0" t="n">
        <f aca="false">IF('Inputs 2026'!B133&gt;0,IF('Inputs 2026'!C133&gt;0,1,2),3)</f>
        <v>2</v>
      </c>
      <c r="X133" s="0" t="n">
        <f aca="false">SUM('Inputs 2026'!E133,'Inputs 2026'!B133,5)</f>
        <v>1755.1978</v>
      </c>
      <c r="Y133" s="0" t="n">
        <f aca="false">MAX('Inputs 2026'!B133:C133,10)-MIN('Inputs 2026'!D133,'Inputs 2026'!E133)</f>
        <v>1134.5678</v>
      </c>
    </row>
    <row r="134" customFormat="false" ht="12.8" hidden="false" customHeight="false" outlineLevel="0" collapsed="false">
      <c r="A134" s="0" t="s">
        <v>139</v>
      </c>
      <c r="B134" s="0" t="n">
        <f aca="false">'Inputs 2026'!B134+'Inputs 2026'!C134*'Inputs 2026'!D134</f>
        <v>-1998.75</v>
      </c>
      <c r="C134" s="0" t="n">
        <f aca="false">('Inputs 2026'!B134-'Inputs 2026'!C134)/'Inputs 2026'!D134</f>
        <v>4.98999499749875</v>
      </c>
      <c r="D134" s="0" t="n">
        <f aca="false">SUM('Inputs 2026'!B134:D134)</f>
        <v>80.26</v>
      </c>
      <c r="E134" s="0" t="n">
        <f aca="false">AVERAGE('Inputs 2026'!B134:E134)</f>
        <v>26.7533333333333</v>
      </c>
      <c r="F134" s="0" t="n">
        <f aca="false">MIN('Inputs 2026'!B134:E134)</f>
        <v>-19.99</v>
      </c>
      <c r="G134" s="0" t="n">
        <f aca="false">MAX('Inputs 2026'!B134:E134)</f>
        <v>100</v>
      </c>
      <c r="H134" s="0" t="n">
        <f aca="false">COUNT('Inputs 2026'!B134:E134)</f>
        <v>3</v>
      </c>
      <c r="I134" s="0" t="n">
        <f aca="false">ROUND('Inputs 2026'!B134/7,2)</f>
        <v>0.04</v>
      </c>
      <c r="J134" s="0" t="n">
        <f aca="false">ROUND('Inputs 2026'!C134*1.005,2)</f>
        <v>100.5</v>
      </c>
      <c r="K134" s="0" t="n">
        <f aca="false">ROUND('Inputs 2026'!D134*1234.5678,-2)</f>
        <v>-24700</v>
      </c>
      <c r="L134" s="0" t="n">
        <f aca="false">IF('Inputs 2026'!B134&gt;'Inputs 2026'!C134,'Inputs 2026'!B134,'Inputs 2026'!C134*2)</f>
        <v>200</v>
      </c>
      <c r="M134" s="0" t="n">
        <f aca="false">IF('Inputs 2026'!B134='Inputs 2026'!C134,1,0)</f>
        <v>0</v>
      </c>
      <c r="N134" s="0" t="n">
        <f aca="false">IF('Inputs 2026'!D134&lt;&gt;0,'Inputs 2026'!B134/'Inputs 2026'!D134,0)</f>
        <v>-0.0125062531265633</v>
      </c>
      <c r="O134" s="0" t="n">
        <f aca="false">-'Inputs 2026'!B134%*50%</f>
        <v>-0.00125</v>
      </c>
      <c r="P134" s="0" t="n">
        <f aca="false">C134*2+D134</f>
        <v>90.2399899949975</v>
      </c>
      <c r="Q134" s="0" t="e">
        <f aca="false">SUM($C$2:C134)</f>
        <v>#DIV/0!</v>
      </c>
      <c r="R134" s="0" t="n">
        <f aca="false">$D$2+P134</f>
        <v>91.9149899949975</v>
      </c>
      <c r="S134" s="0" t="n">
        <f aca="false">COUNT(B134:Q134)</f>
        <v>15</v>
      </c>
      <c r="T134" s="0" t="n">
        <f aca="false">IF('Inputs 2026'!E134&gt;5,1,0)</f>
        <v>1</v>
      </c>
      <c r="U134" s="0" t="n">
        <f aca="false">IF('Inputs 2026'!E134='Inputs 2026'!D134,1,0)</f>
        <v>0</v>
      </c>
      <c r="V134" s="0" t="e">
        <f aca="false">IF('Inputs 2026'!E134,1,2)</f>
        <v>#VALUE!</v>
      </c>
      <c r="W134" s="0" t="n">
        <f aca="false">IF('Inputs 2026'!B134&gt;0,IF('Inputs 2026'!C134&gt;0,1,2),3)</f>
        <v>1</v>
      </c>
      <c r="X134" s="0" t="n">
        <f aca="false">SUM('Inputs 2026'!E134,'Inputs 2026'!B134,5)</f>
        <v>5.25</v>
      </c>
      <c r="Y134" s="0" t="n">
        <f aca="false">MAX('Inputs 2026'!B134:C134,10)-MIN('Inputs 2026'!D134,'Inputs 2026'!E134)</f>
        <v>119.99</v>
      </c>
    </row>
    <row r="135" customFormat="false" ht="12.8" hidden="false" customHeight="false" outlineLevel="0" collapsed="false">
      <c r="A135" s="0" t="s">
        <v>140</v>
      </c>
      <c r="B135" s="0" t="n">
        <f aca="false">'Inputs 2026'!B135+'Inputs 2026'!C135*'Inputs 2026'!D135</f>
        <v>-52.46825</v>
      </c>
      <c r="C135" s="0" t="n">
        <f aca="false">('Inputs 2026'!B135-'Inputs 2026'!C135)/'Inputs 2026'!D135</f>
        <v>7.84859813084112</v>
      </c>
      <c r="D135" s="0" t="n">
        <f aca="false">SUM('Inputs 2026'!B135:D135)</f>
        <v>-16.31</v>
      </c>
      <c r="E135" s="0" t="n">
        <f aca="false">AVERAGE('Inputs 2026'!B135:E135)</f>
        <v>-5.43666666666667</v>
      </c>
      <c r="F135" s="0" t="n">
        <f aca="false">MIN('Inputs 2026'!B135:E135)</f>
        <v>-19.99</v>
      </c>
      <c r="G135" s="0" t="n">
        <f aca="false">MAX('Inputs 2026'!B135:E135)</f>
        <v>2.675</v>
      </c>
      <c r="H135" s="0" t="n">
        <f aca="false">COUNT('Inputs 2026'!B135:E135)</f>
        <v>3</v>
      </c>
      <c r="I135" s="0" t="n">
        <f aca="false">ROUND('Inputs 2026'!B135/7,2)</f>
        <v>0.14</v>
      </c>
      <c r="J135" s="0" t="n">
        <f aca="false">ROUND('Inputs 2026'!C135*1.005,2)</f>
        <v>-20.09</v>
      </c>
      <c r="K135" s="0" t="n">
        <f aca="false">ROUND('Inputs 2026'!D135*1234.5678,-2)</f>
        <v>3300</v>
      </c>
      <c r="L135" s="0" t="n">
        <f aca="false">IF('Inputs 2026'!B135&gt;'Inputs 2026'!C135,'Inputs 2026'!B135,'Inputs 2026'!C135*2)</f>
        <v>1.005</v>
      </c>
      <c r="M135" s="0" t="n">
        <f aca="false">IF('Inputs 2026'!B135='Inputs 2026'!C135,1,0)</f>
        <v>0</v>
      </c>
      <c r="N135" s="0" t="n">
        <f aca="false">IF('Inputs 2026'!D135&lt;&gt;0,'Inputs 2026'!B135/'Inputs 2026'!D135,0)</f>
        <v>0.375700934579439</v>
      </c>
      <c r="O135" s="0" t="n">
        <f aca="false">-'Inputs 2026'!B135%*50%</f>
        <v>-0.005025</v>
      </c>
      <c r="P135" s="0" t="n">
        <f aca="false">C135*2+D135</f>
        <v>-0.612803738317757</v>
      </c>
      <c r="Q135" s="0" t="e">
        <f aca="false">SUM($C$2:C135)</f>
        <v>#DIV/0!</v>
      </c>
      <c r="R135" s="0" t="n">
        <f aca="false">$D$2+P135</f>
        <v>1.06219626168224</v>
      </c>
      <c r="S135" s="0" t="n">
        <f aca="false">COUNT(B135:Q135)</f>
        <v>15</v>
      </c>
      <c r="T135" s="0" t="n">
        <f aca="false">IF('Inputs 2026'!E135&gt;5,1,0)</f>
        <v>0</v>
      </c>
      <c r="U135" s="0" t="n">
        <f aca="false">IF('Inputs 2026'!E135='Inputs 2026'!D135,1,0)</f>
        <v>0</v>
      </c>
      <c r="V135" s="0" t="n">
        <f aca="false">IF('Inputs 2026'!E135,1,2)</f>
        <v>2</v>
      </c>
      <c r="W135" s="0" t="n">
        <f aca="false">IF('Inputs 2026'!B135&gt;0,IF('Inputs 2026'!C135&gt;0,1,2),3)</f>
        <v>2</v>
      </c>
      <c r="X135" s="0" t="n">
        <f aca="false">SUM('Inputs 2026'!E135,'Inputs 2026'!B135,5)</f>
        <v>6.005</v>
      </c>
      <c r="Y135" s="0" t="n">
        <f aca="false">MAX('Inputs 2026'!B135:C135,10)-MIN('Inputs 2026'!D135,'Inputs 2026'!E135)</f>
        <v>7.325</v>
      </c>
    </row>
    <row r="136" customFormat="false" ht="12.8" hidden="false" customHeight="false" outlineLevel="0" collapsed="false">
      <c r="A136" s="0" t="s">
        <v>141</v>
      </c>
      <c r="B136" s="0" t="n">
        <f aca="false">'Inputs 2026'!B136+'Inputs 2026'!C136*'Inputs 2026'!D136</f>
        <v>30</v>
      </c>
      <c r="C136" s="0" t="n">
        <f aca="false">('Inputs 2026'!B136-'Inputs 2026'!C136)/'Inputs 2026'!D136</f>
        <v>-3.33333333333333</v>
      </c>
      <c r="D136" s="0" t="n">
        <f aca="false">SUM('Inputs 2026'!B136:D136)</f>
        <v>13</v>
      </c>
      <c r="E136" s="0" t="n">
        <f aca="false">AVERAGE('Inputs 2026'!B136:E136)</f>
        <v>4.33333333333333</v>
      </c>
      <c r="F136" s="0" t="n">
        <f aca="false">MIN('Inputs 2026'!B136:E136)</f>
        <v>0</v>
      </c>
      <c r="G136" s="0" t="n">
        <f aca="false">MAX('Inputs 2026'!B136:E136)</f>
        <v>10</v>
      </c>
      <c r="H136" s="0" t="n">
        <f aca="false">COUNT('Inputs 2026'!B136:E136)</f>
        <v>3</v>
      </c>
      <c r="I136" s="0" t="n">
        <f aca="false">ROUND('Inputs 2026'!B136/7,2)</f>
        <v>0</v>
      </c>
      <c r="J136" s="0" t="n">
        <f aca="false">ROUND('Inputs 2026'!C136*1.005,2)</f>
        <v>10.05</v>
      </c>
      <c r="K136" s="0" t="n">
        <f aca="false">ROUND('Inputs 2026'!D136*1234.5678,-2)</f>
        <v>3700</v>
      </c>
      <c r="L136" s="0" t="n">
        <f aca="false">IF('Inputs 2026'!B136&gt;'Inputs 2026'!C136,'Inputs 2026'!B136,'Inputs 2026'!C136*2)</f>
        <v>20</v>
      </c>
      <c r="M136" s="0" t="n">
        <f aca="false">IF('Inputs 2026'!B136='Inputs 2026'!C136,1,0)</f>
        <v>0</v>
      </c>
      <c r="N136" s="0" t="n">
        <f aca="false">IF('Inputs 2026'!D136&lt;&gt;0,'Inputs 2026'!B136/'Inputs 2026'!D136,0)</f>
        <v>0</v>
      </c>
      <c r="O136" s="0" t="n">
        <f aca="false">-'Inputs 2026'!B136%*50%</f>
        <v>-0</v>
      </c>
      <c r="P136" s="0" t="n">
        <f aca="false">C136*2+D136</f>
        <v>6.33333333333333</v>
      </c>
      <c r="Q136" s="0" t="e">
        <f aca="false">SUM($C$2:C136)</f>
        <v>#DIV/0!</v>
      </c>
      <c r="R136" s="0" t="n">
        <f aca="false">$D$2+P136</f>
        <v>8.00833333333333</v>
      </c>
      <c r="S136" s="0" t="n">
        <f aca="false">COUNT(B136:Q136)</f>
        <v>15</v>
      </c>
      <c r="T136" s="0" t="n">
        <f aca="false">IF('Inputs 2026'!E136&gt;5,1,0)</f>
        <v>0</v>
      </c>
      <c r="U136" s="0" t="n">
        <f aca="false">IF('Inputs 2026'!E136='Inputs 2026'!D136,1,0)</f>
        <v>0</v>
      </c>
      <c r="V136" s="0" t="n">
        <f aca="false">IF('Inputs 2026'!E136,1,2)</f>
        <v>2</v>
      </c>
      <c r="W136" s="0" t="n">
        <f aca="false">IF('Inputs 2026'!B136&gt;0,IF('Inputs 2026'!C136&gt;0,1,2),3)</f>
        <v>3</v>
      </c>
      <c r="X136" s="0" t="n">
        <f aca="false">SUM('Inputs 2026'!E136,'Inputs 2026'!B136,5)</f>
        <v>5</v>
      </c>
      <c r="Y136" s="0" t="n">
        <f aca="false">MAX('Inputs 2026'!B136:C136,10)-MIN('Inputs 2026'!D136,'Inputs 2026'!E136)</f>
        <v>7</v>
      </c>
    </row>
    <row r="137" customFormat="false" ht="12.8" hidden="false" customHeight="false" outlineLevel="0" collapsed="false">
      <c r="A137" s="0" t="s">
        <v>142</v>
      </c>
      <c r="B137" s="0" t="n">
        <f aca="false">'Inputs 2026'!B137+'Inputs 2026'!C137*'Inputs 2026'!D137</f>
        <v>1235.9678</v>
      </c>
      <c r="C137" s="0" t="n">
        <f aca="false">('Inputs 2026'!B137-'Inputs 2026'!C137)/'Inputs 2026'!D137</f>
        <v>176.338257142857</v>
      </c>
      <c r="D137" s="0" t="n">
        <f aca="false">SUM('Inputs 2026'!B137:D137)</f>
        <v>1241.7678</v>
      </c>
      <c r="E137" s="0" t="n">
        <f aca="false">AVERAGE('Inputs 2026'!B137:E137)</f>
        <v>413.9226</v>
      </c>
      <c r="F137" s="0" t="n">
        <f aca="false">MIN('Inputs 2026'!B137:E137)</f>
        <v>0.2</v>
      </c>
      <c r="G137" s="0" t="n">
        <f aca="false">MAX('Inputs 2026'!B137:E137)</f>
        <v>1234.5678</v>
      </c>
      <c r="H137" s="0" t="n">
        <f aca="false">COUNT('Inputs 2026'!B137:E137)</f>
        <v>3</v>
      </c>
      <c r="I137" s="0" t="n">
        <f aca="false">ROUND('Inputs 2026'!B137/7,2)</f>
        <v>176.37</v>
      </c>
      <c r="J137" s="0" t="n">
        <f aca="false">ROUND('Inputs 2026'!C137*1.005,2)</f>
        <v>0.2</v>
      </c>
      <c r="K137" s="0" t="n">
        <f aca="false">ROUND('Inputs 2026'!D137*1234.5678,-2)</f>
        <v>8600</v>
      </c>
      <c r="L137" s="0" t="n">
        <f aca="false">IF('Inputs 2026'!B137&gt;'Inputs 2026'!C137,'Inputs 2026'!B137,'Inputs 2026'!C137*2)</f>
        <v>1234.5678</v>
      </c>
      <c r="M137" s="0" t="n">
        <f aca="false">IF('Inputs 2026'!B137='Inputs 2026'!C137,1,0)</f>
        <v>0</v>
      </c>
      <c r="N137" s="0" t="n">
        <f aca="false">IF('Inputs 2026'!D137&lt;&gt;0,'Inputs 2026'!B137/'Inputs 2026'!D137,0)</f>
        <v>176.366828571429</v>
      </c>
      <c r="O137" s="0" t="n">
        <f aca="false">-'Inputs 2026'!B137%*50%</f>
        <v>-6.172839</v>
      </c>
      <c r="P137" s="0" t="n">
        <f aca="false">C137*2+D137</f>
        <v>1594.44431428571</v>
      </c>
      <c r="Q137" s="0" t="e">
        <f aca="false">SUM($C$2:C137)</f>
        <v>#DIV/0!</v>
      </c>
      <c r="R137" s="0" t="n">
        <f aca="false">$D$2+P137</f>
        <v>1596.11931428571</v>
      </c>
      <c r="S137" s="0" t="n">
        <f aca="false">COUNT(B137:Q137)</f>
        <v>15</v>
      </c>
      <c r="T137" s="0" t="n">
        <f aca="false">IF('Inputs 2026'!E137&gt;5,1,0)</f>
        <v>1</v>
      </c>
      <c r="U137" s="0" t="n">
        <f aca="false">IF('Inputs 2026'!E137='Inputs 2026'!D137,1,0)</f>
        <v>0</v>
      </c>
      <c r="V137" s="0" t="e">
        <f aca="false">IF('Inputs 2026'!E137,1,2)</f>
        <v>#VALUE!</v>
      </c>
      <c r="W137" s="0" t="n">
        <f aca="false">IF('Inputs 2026'!B137&gt;0,IF('Inputs 2026'!C137&gt;0,1,2),3)</f>
        <v>1</v>
      </c>
      <c r="X137" s="0" t="n">
        <f aca="false">SUM('Inputs 2026'!E137,'Inputs 2026'!B137,5)</f>
        <v>1239.5678</v>
      </c>
      <c r="Y137" s="0" t="n">
        <f aca="false">MAX('Inputs 2026'!B137:C137,10)-MIN('Inputs 2026'!D137,'Inputs 2026'!E137)</f>
        <v>1227.5678</v>
      </c>
    </row>
    <row r="138" customFormat="false" ht="12.8" hidden="false" customHeight="false" outlineLevel="0" collapsed="false">
      <c r="A138" s="0" t="s">
        <v>143</v>
      </c>
      <c r="B138" s="0" t="n">
        <f aca="false">'Inputs 2026'!B138+'Inputs 2026'!C138*'Inputs 2026'!D138</f>
        <v>17.725</v>
      </c>
      <c r="C138" s="0" t="n">
        <f aca="false">('Inputs 2026'!B138-'Inputs 2026'!C138)/'Inputs 2026'!D138</f>
        <v>-0.525</v>
      </c>
      <c r="D138" s="0" t="n">
        <f aca="false">SUM('Inputs 2026'!B138:D138)</f>
        <v>8.675</v>
      </c>
      <c r="E138" s="0" t="n">
        <f aca="false">AVERAGE('Inputs 2026'!B138:E138)</f>
        <v>2.89166666666667</v>
      </c>
      <c r="F138" s="0" t="n">
        <f aca="false">MIN('Inputs 2026'!B138:E138)</f>
        <v>-1</v>
      </c>
      <c r="G138" s="0" t="n">
        <f aca="false">MAX('Inputs 2026'!B138:E138)</f>
        <v>7</v>
      </c>
      <c r="H138" s="0" t="n">
        <f aca="false">COUNT('Inputs 2026'!B138:E138)</f>
        <v>3</v>
      </c>
      <c r="I138" s="0" t="n">
        <f aca="false">ROUND('Inputs 2026'!B138/7,2)</f>
        <v>-0.14</v>
      </c>
      <c r="J138" s="0" t="n">
        <f aca="false">ROUND('Inputs 2026'!C138*1.005,2)</f>
        <v>2.69</v>
      </c>
      <c r="K138" s="0" t="n">
        <f aca="false">ROUND('Inputs 2026'!D138*1234.5678,-2)</f>
        <v>8600</v>
      </c>
      <c r="L138" s="0" t="n">
        <f aca="false">IF('Inputs 2026'!B138&gt;'Inputs 2026'!C138,'Inputs 2026'!B138,'Inputs 2026'!C138*2)</f>
        <v>5.35</v>
      </c>
      <c r="M138" s="0" t="n">
        <f aca="false">IF('Inputs 2026'!B138='Inputs 2026'!C138,1,0)</f>
        <v>0</v>
      </c>
      <c r="N138" s="0" t="n">
        <f aca="false">IF('Inputs 2026'!D138&lt;&gt;0,'Inputs 2026'!B138/'Inputs 2026'!D138,0)</f>
        <v>-0.142857142857143</v>
      </c>
      <c r="O138" s="0" t="n">
        <f aca="false">-'Inputs 2026'!B138%*50%</f>
        <v>0.005</v>
      </c>
      <c r="P138" s="0" t="n">
        <f aca="false">C138*2+D138</f>
        <v>7.625</v>
      </c>
      <c r="Q138" s="0" t="e">
        <f aca="false">SUM($C$2:C138)</f>
        <v>#DIV/0!</v>
      </c>
      <c r="R138" s="0" t="n">
        <f aca="false">$D$2+P138</f>
        <v>9.3</v>
      </c>
      <c r="S138" s="0" t="n">
        <f aca="false">COUNT(B138:Q138)</f>
        <v>15</v>
      </c>
      <c r="T138" s="0" t="n">
        <f aca="false">IF('Inputs 2026'!E138&gt;5,1,0)</f>
        <v>1</v>
      </c>
      <c r="U138" s="0" t="n">
        <f aca="false">IF('Inputs 2026'!E138='Inputs 2026'!D138,1,0)</f>
        <v>0</v>
      </c>
      <c r="V138" s="0" t="e">
        <f aca="false">IF('Inputs 2026'!E138,1,2)</f>
        <v>#VALUE!</v>
      </c>
      <c r="W138" s="0" t="n">
        <f aca="false">IF('Inputs 2026'!B138&gt;0,IF('Inputs 2026'!C138&gt;0,1,2),3)</f>
        <v>3</v>
      </c>
      <c r="X138" s="0" t="n">
        <f aca="false">SUM('Inputs 2026'!E138,'Inputs 2026'!B138,5)</f>
        <v>4</v>
      </c>
      <c r="Y138" s="0" t="n">
        <f aca="false">MAX('Inputs 2026'!B138:C138,10)-MIN('Inputs 2026'!D138,'Inputs 2026'!E138)</f>
        <v>3</v>
      </c>
    </row>
    <row r="139" customFormat="false" ht="12.8" hidden="false" customHeight="false" outlineLevel="0" collapsed="false">
      <c r="A139" s="0" t="s">
        <v>144</v>
      </c>
      <c r="B139" s="0" t="n">
        <f aca="false">'Inputs 2026'!B139+'Inputs 2026'!C139*'Inputs 2026'!D139</f>
        <v>25</v>
      </c>
      <c r="C139" s="0" t="e">
        <f aca="false">('Inputs 2026'!B139-'Inputs 2026'!C139)/'Inputs 2026'!D139</f>
        <v>#DIV/0!</v>
      </c>
      <c r="D139" s="0" t="n">
        <f aca="false">SUM('Inputs 2026'!B139:D139)</f>
        <v>27.675</v>
      </c>
      <c r="E139" s="0" t="n">
        <f aca="false">AVERAGE('Inputs 2026'!B139:E139)</f>
        <v>13.8375</v>
      </c>
      <c r="F139" s="0" t="n">
        <f aca="false">MIN('Inputs 2026'!B139:E139)</f>
        <v>2.675</v>
      </c>
      <c r="G139" s="0" t="n">
        <f aca="false">MAX('Inputs 2026'!B139:E139)</f>
        <v>25</v>
      </c>
      <c r="H139" s="0" t="n">
        <f aca="false">COUNT('Inputs 2026'!B139:E139)</f>
        <v>2</v>
      </c>
      <c r="I139" s="0" t="n">
        <f aca="false">ROUND('Inputs 2026'!B139/7,2)</f>
        <v>3.57</v>
      </c>
      <c r="J139" s="0" t="n">
        <f aca="false">ROUND('Inputs 2026'!C139*1.005,2)</f>
        <v>2.69</v>
      </c>
      <c r="K139" s="0" t="n">
        <f aca="false">ROUND('Inputs 2026'!D139*1234.5678,-2)</f>
        <v>0</v>
      </c>
      <c r="L139" s="0" t="n">
        <f aca="false">IF('Inputs 2026'!B139&gt;'Inputs 2026'!C139,'Inputs 2026'!B139,'Inputs 2026'!C139*2)</f>
        <v>25</v>
      </c>
      <c r="M139" s="0" t="n">
        <f aca="false">IF('Inputs 2026'!B139='Inputs 2026'!C139,1,0)</f>
        <v>0</v>
      </c>
      <c r="N139" s="0" t="n">
        <f aca="false">IF('Inputs 2026'!D139&lt;&gt;0,'Inputs 2026'!B139/'Inputs 2026'!D139,0)</f>
        <v>0</v>
      </c>
      <c r="O139" s="0" t="n">
        <f aca="false">-'Inputs 2026'!B139%*50%</f>
        <v>-0.125</v>
      </c>
      <c r="P139" s="0" t="e">
        <f aca="false">C139*2+D139</f>
        <v>#DIV/0!</v>
      </c>
      <c r="Q139" s="0" t="e">
        <f aca="false">SUM($C$2:C139)</f>
        <v>#DIV/0!</v>
      </c>
      <c r="R139" s="0" t="e">
        <f aca="false">$D$2+P139</f>
        <v>#DIV/0!</v>
      </c>
      <c r="S139" s="0" t="n">
        <f aca="false">COUNT(B139:Q139)</f>
        <v>13</v>
      </c>
      <c r="T139" s="0" t="n">
        <f aca="false">IF('Inputs 2026'!E139&gt;5,1,0)</f>
        <v>1</v>
      </c>
      <c r="U139" s="0" t="n">
        <f aca="false">IF('Inputs 2026'!E139='Inputs 2026'!D139,1,0)</f>
        <v>0</v>
      </c>
      <c r="V139" s="0" t="e">
        <f aca="false">IF('Inputs 2026'!E139,1,2)</f>
        <v>#VALUE!</v>
      </c>
      <c r="W139" s="0" t="n">
        <f aca="false">IF('Inputs 2026'!B139&gt;0,IF('Inputs 2026'!C139&gt;0,1,2),3)</f>
        <v>1</v>
      </c>
      <c r="X139" s="0" t="n">
        <f aca="false">SUM('Inputs 2026'!E139,'Inputs 2026'!B139,5)</f>
        <v>30</v>
      </c>
      <c r="Y139" s="0" t="n">
        <f aca="false">MAX('Inputs 2026'!B139:C139,10)-MIN('Inputs 2026'!D139,'Inputs 2026'!E139)</f>
        <v>25</v>
      </c>
    </row>
    <row r="140" customFormat="false" ht="12.8" hidden="false" customHeight="false" outlineLevel="0" collapsed="false">
      <c r="A140" s="0" t="s">
        <v>145</v>
      </c>
      <c r="B140" s="0" t="n">
        <f aca="false">'Inputs 2026'!B140+'Inputs 2026'!C140*'Inputs 2026'!D140</f>
        <v>829.08</v>
      </c>
      <c r="C140" s="0" t="n">
        <f aca="false">('Inputs 2026'!B140-'Inputs 2026'!C140)/'Inputs 2026'!D140</f>
        <v>0.00242107301956227</v>
      </c>
      <c r="D140" s="0" t="n">
        <f aca="false">SUM('Inputs 2026'!B140:D140)</f>
        <v>418.04</v>
      </c>
      <c r="E140" s="0" t="n">
        <f aca="false">AVERAGE('Inputs 2026'!B140:E140)</f>
        <v>139.346666666667</v>
      </c>
      <c r="F140" s="0" t="n">
        <f aca="false">MIN('Inputs 2026'!B140:E140)</f>
        <v>2</v>
      </c>
      <c r="G140" s="0" t="n">
        <f aca="false">MAX('Inputs 2026'!B140:E140)</f>
        <v>413.04</v>
      </c>
      <c r="H140" s="0" t="n">
        <f aca="false">COUNT('Inputs 2026'!B140:E140)</f>
        <v>3</v>
      </c>
      <c r="I140" s="0" t="n">
        <f aca="false">ROUND('Inputs 2026'!B140/7,2)</f>
        <v>0.43</v>
      </c>
      <c r="J140" s="0" t="n">
        <f aca="false">ROUND('Inputs 2026'!C140*1.005,2)</f>
        <v>2.01</v>
      </c>
      <c r="K140" s="0" t="n">
        <f aca="false">ROUND('Inputs 2026'!D140*1234.5678,-2)</f>
        <v>509900</v>
      </c>
      <c r="L140" s="0" t="n">
        <f aca="false">IF('Inputs 2026'!B140&gt;'Inputs 2026'!C140,'Inputs 2026'!B140,'Inputs 2026'!C140*2)</f>
        <v>3</v>
      </c>
      <c r="M140" s="0" t="n">
        <f aca="false">IF('Inputs 2026'!B140='Inputs 2026'!C140,1,0)</f>
        <v>0</v>
      </c>
      <c r="N140" s="0" t="n">
        <f aca="false">IF('Inputs 2026'!D140&lt;&gt;0,'Inputs 2026'!B140/'Inputs 2026'!D140,0)</f>
        <v>0.00726321905868681</v>
      </c>
      <c r="O140" s="0" t="n">
        <f aca="false">-'Inputs 2026'!B140%*50%</f>
        <v>-0.015</v>
      </c>
      <c r="P140" s="0" t="n">
        <f aca="false">C140*2+D140</f>
        <v>418.044842146039</v>
      </c>
      <c r="Q140" s="0" t="e">
        <f aca="false">SUM($C$2:C140)</f>
        <v>#DIV/0!</v>
      </c>
      <c r="R140" s="0" t="n">
        <f aca="false">$D$2+P140</f>
        <v>419.719842146039</v>
      </c>
      <c r="S140" s="0" t="n">
        <f aca="false">COUNT(B140:Q140)</f>
        <v>15</v>
      </c>
      <c r="T140" s="0" t="n">
        <f aca="false">IF('Inputs 2026'!E140&gt;5,1,0)</f>
        <v>1</v>
      </c>
      <c r="U140" s="0" t="n">
        <f aca="false">IF('Inputs 2026'!E140='Inputs 2026'!D140,1,0)</f>
        <v>0</v>
      </c>
      <c r="V140" s="0" t="e">
        <f aca="false">IF('Inputs 2026'!E140,1,2)</f>
        <v>#VALUE!</v>
      </c>
      <c r="W140" s="0" t="n">
        <f aca="false">IF('Inputs 2026'!B140&gt;0,IF('Inputs 2026'!C140&gt;0,1,2),3)</f>
        <v>1</v>
      </c>
      <c r="X140" s="0" t="n">
        <f aca="false">SUM('Inputs 2026'!E140,'Inputs 2026'!B140,5)</f>
        <v>8</v>
      </c>
      <c r="Y140" s="0" t="n">
        <f aca="false">MAX('Inputs 2026'!B140:C140,10)-MIN('Inputs 2026'!D140,'Inputs 2026'!E140)</f>
        <v>-403.04</v>
      </c>
    </row>
    <row r="141" customFormat="false" ht="12.8" hidden="false" customHeight="false" outlineLevel="0" collapsed="false">
      <c r="A141" s="0" t="s">
        <v>146</v>
      </c>
      <c r="B141" s="0" t="n">
        <f aca="false">'Inputs 2026'!B141+'Inputs 2026'!C141*'Inputs 2026'!D141</f>
        <v>-186.4975</v>
      </c>
      <c r="C141" s="0" t="n">
        <f aca="false">('Inputs 2026'!B141-'Inputs 2026'!C141)/'Inputs 2026'!D141</f>
        <v>-186.567164179105</v>
      </c>
      <c r="D141" s="0" t="n">
        <f aca="false">SUM('Inputs 2026'!B141:D141)</f>
        <v>-185.495</v>
      </c>
      <c r="E141" s="0" t="n">
        <f aca="false">AVERAGE('Inputs 2026'!B141:E141)</f>
        <v>-61.8316666666667</v>
      </c>
      <c r="F141" s="0" t="n">
        <f aca="false">MIN('Inputs 2026'!B141:E141)</f>
        <v>-187</v>
      </c>
      <c r="G141" s="0" t="n">
        <f aca="false">MAX('Inputs 2026'!B141:E141)</f>
        <v>1.005</v>
      </c>
      <c r="H141" s="0" t="n">
        <f aca="false">COUNT('Inputs 2026'!B141:E141)</f>
        <v>3</v>
      </c>
      <c r="I141" s="0" t="n">
        <f aca="false">ROUND('Inputs 2026'!B141/7,2)</f>
        <v>-26.71</v>
      </c>
      <c r="J141" s="0" t="n">
        <f aca="false">ROUND('Inputs 2026'!C141*1.005,2)</f>
        <v>0.5</v>
      </c>
      <c r="K141" s="0" t="n">
        <f aca="false">ROUND('Inputs 2026'!D141*1234.5678,-2)</f>
        <v>1200</v>
      </c>
      <c r="L141" s="0" t="n">
        <f aca="false">IF('Inputs 2026'!B141&gt;'Inputs 2026'!C141,'Inputs 2026'!B141,'Inputs 2026'!C141*2)</f>
        <v>1</v>
      </c>
      <c r="M141" s="0" t="n">
        <f aca="false">IF('Inputs 2026'!B141='Inputs 2026'!C141,1,0)</f>
        <v>0</v>
      </c>
      <c r="N141" s="0" t="n">
        <f aca="false">IF('Inputs 2026'!D141&lt;&gt;0,'Inputs 2026'!B141/'Inputs 2026'!D141,0)</f>
        <v>-186.069651741294</v>
      </c>
      <c r="O141" s="0" t="n">
        <f aca="false">-'Inputs 2026'!B141%*50%</f>
        <v>0.935</v>
      </c>
      <c r="P141" s="0" t="n">
        <f aca="false">C141*2+D141</f>
        <v>-558.629328358209</v>
      </c>
      <c r="Q141" s="0" t="e">
        <f aca="false">SUM($C$2:C141)</f>
        <v>#DIV/0!</v>
      </c>
      <c r="R141" s="0" t="n">
        <f aca="false">$D$2+P141</f>
        <v>-556.954328358209</v>
      </c>
      <c r="S141" s="0" t="n">
        <f aca="false">COUNT(B141:Q141)</f>
        <v>15</v>
      </c>
      <c r="T141" s="0" t="n">
        <f aca="false">IF('Inputs 2026'!E141&gt;5,1,0)</f>
        <v>0</v>
      </c>
      <c r="U141" s="0" t="n">
        <f aca="false">IF('Inputs 2026'!E141='Inputs 2026'!D141,1,0)</f>
        <v>0</v>
      </c>
      <c r="V141" s="0" t="n">
        <f aca="false">IF('Inputs 2026'!E141,1,2)</f>
        <v>2</v>
      </c>
      <c r="W141" s="0" t="n">
        <f aca="false">IF('Inputs 2026'!B141&gt;0,IF('Inputs 2026'!C141&gt;0,1,2),3)</f>
        <v>3</v>
      </c>
      <c r="X141" s="0" t="n">
        <f aca="false">SUM('Inputs 2026'!E141,'Inputs 2026'!B141,5)</f>
        <v>-182</v>
      </c>
      <c r="Y141" s="0" t="n">
        <f aca="false">MAX('Inputs 2026'!B141:C141,10)-MIN('Inputs 2026'!D141,'Inputs 2026'!E141)</f>
        <v>8.995</v>
      </c>
    </row>
    <row r="142" customFormat="false" ht="12.8" hidden="false" customHeight="false" outlineLevel="0" collapsed="false">
      <c r="A142" s="0" t="s">
        <v>147</v>
      </c>
      <c r="B142" s="0" t="n">
        <f aca="false">'Inputs 2026'!B142+'Inputs 2026'!C142*'Inputs 2026'!D142</f>
        <v>12.35</v>
      </c>
      <c r="C142" s="0" t="n">
        <f aca="false">('Inputs 2026'!B142-'Inputs 2026'!C142)/'Inputs 2026'!D142</f>
        <v>2.1625</v>
      </c>
      <c r="D142" s="0" t="n">
        <f aca="false">SUM('Inputs 2026'!B142:D142)</f>
        <v>11.675</v>
      </c>
      <c r="E142" s="0" t="n">
        <f aca="false">AVERAGE('Inputs 2026'!B142:E142)</f>
        <v>3.89166666666667</v>
      </c>
      <c r="F142" s="0" t="n">
        <f aca="false">MIN('Inputs 2026'!B142:E142)</f>
        <v>2</v>
      </c>
      <c r="G142" s="0" t="n">
        <f aca="false">MAX('Inputs 2026'!B142:E142)</f>
        <v>7</v>
      </c>
      <c r="H142" s="0" t="n">
        <f aca="false">COUNT('Inputs 2026'!B142:E142)</f>
        <v>3</v>
      </c>
      <c r="I142" s="0" t="n">
        <f aca="false">ROUND('Inputs 2026'!B142/7,2)</f>
        <v>1</v>
      </c>
      <c r="J142" s="0" t="n">
        <f aca="false">ROUND('Inputs 2026'!C142*1.005,2)</f>
        <v>2.69</v>
      </c>
      <c r="K142" s="0" t="n">
        <f aca="false">ROUND('Inputs 2026'!D142*1234.5678,-2)</f>
        <v>2500</v>
      </c>
      <c r="L142" s="0" t="n">
        <f aca="false">IF('Inputs 2026'!B142&gt;'Inputs 2026'!C142,'Inputs 2026'!B142,'Inputs 2026'!C142*2)</f>
        <v>7</v>
      </c>
      <c r="M142" s="0" t="n">
        <f aca="false">IF('Inputs 2026'!B142='Inputs 2026'!C142,1,0)</f>
        <v>0</v>
      </c>
      <c r="N142" s="0" t="n">
        <f aca="false">IF('Inputs 2026'!D142&lt;&gt;0,'Inputs 2026'!B142/'Inputs 2026'!D142,0)</f>
        <v>3.5</v>
      </c>
      <c r="O142" s="0" t="n">
        <f aca="false">-'Inputs 2026'!B142%*50%</f>
        <v>-0.035</v>
      </c>
      <c r="P142" s="0" t="n">
        <f aca="false">C142*2+D142</f>
        <v>16</v>
      </c>
      <c r="Q142" s="0" t="e">
        <f aca="false">SUM($C$2:C142)</f>
        <v>#DIV/0!</v>
      </c>
      <c r="R142" s="0" t="n">
        <f aca="false">$D$2+P142</f>
        <v>17.675</v>
      </c>
      <c r="S142" s="0" t="n">
        <f aca="false">COUNT(B142:Q142)</f>
        <v>15</v>
      </c>
      <c r="T142" s="0" t="n">
        <f aca="false">IF('Inputs 2026'!E142&gt;5,1,0)</f>
        <v>1</v>
      </c>
      <c r="U142" s="0" t="n">
        <f aca="false">IF('Inputs 2026'!E142='Inputs 2026'!D142,1,0)</f>
        <v>0</v>
      </c>
      <c r="V142" s="0" t="e">
        <f aca="false">IF('Inputs 2026'!E142,1,2)</f>
        <v>#VALUE!</v>
      </c>
      <c r="W142" s="0" t="n">
        <f aca="false">IF('Inputs 2026'!B142&gt;0,IF('Inputs 2026'!C142&gt;0,1,2),3)</f>
        <v>1</v>
      </c>
      <c r="X142" s="0" t="n">
        <f aca="false">SUM('Inputs 2026'!E142,'Inputs 2026'!B142,5)</f>
        <v>12</v>
      </c>
      <c r="Y142" s="0" t="n">
        <f aca="false">MAX('Inputs 2026'!B142:C142,10)-MIN('Inputs 2026'!D142,'Inputs 2026'!E142)</f>
        <v>8</v>
      </c>
    </row>
    <row r="143" customFormat="false" ht="12.8" hidden="false" customHeight="false" outlineLevel="0" collapsed="false">
      <c r="A143" s="0" t="s">
        <v>148</v>
      </c>
      <c r="B143" s="0" t="n">
        <f aca="false">'Inputs 2026'!B143+'Inputs 2026'!C143*'Inputs 2026'!D143</f>
        <v>499.2839</v>
      </c>
      <c r="C143" s="0" t="n">
        <f aca="false">('Inputs 2026'!B143-'Inputs 2026'!C143)/'Inputs 2026'!D143</f>
        <v>-0.0959850078707707</v>
      </c>
      <c r="D143" s="0" t="n">
        <f aca="false">SUM('Inputs 2026'!B143:D143)</f>
        <v>1117.0678</v>
      </c>
      <c r="E143" s="0" t="n">
        <f aca="false">AVERAGE('Inputs 2026'!B143:E143)</f>
        <v>372.355933333333</v>
      </c>
      <c r="F143" s="0" t="n">
        <f aca="false">MIN('Inputs 2026'!B143:E143)</f>
        <v>-118</v>
      </c>
      <c r="G143" s="0" t="n">
        <f aca="false">MAX('Inputs 2026'!B143:E143)</f>
        <v>1234.5678</v>
      </c>
      <c r="H143" s="0" t="n">
        <f aca="false">COUNT('Inputs 2026'!B143:E143)</f>
        <v>3</v>
      </c>
      <c r="I143" s="0" t="n">
        <f aca="false">ROUND('Inputs 2026'!B143/7,2)</f>
        <v>-16.86</v>
      </c>
      <c r="J143" s="0" t="n">
        <f aca="false">ROUND('Inputs 2026'!C143*1.005,2)</f>
        <v>0.5</v>
      </c>
      <c r="K143" s="0" t="n">
        <f aca="false">ROUND('Inputs 2026'!D143*1234.5678,-2)</f>
        <v>1524200</v>
      </c>
      <c r="L143" s="0" t="n">
        <f aca="false">IF('Inputs 2026'!B143&gt;'Inputs 2026'!C143,'Inputs 2026'!B143,'Inputs 2026'!C143*2)</f>
        <v>1</v>
      </c>
      <c r="M143" s="0" t="n">
        <f aca="false">IF('Inputs 2026'!B143='Inputs 2026'!C143,1,0)</f>
        <v>0</v>
      </c>
      <c r="N143" s="0" t="n">
        <f aca="false">IF('Inputs 2026'!D143&lt;&gt;0,'Inputs 2026'!B143/'Inputs 2026'!D143,0)</f>
        <v>-0.0955800078375606</v>
      </c>
      <c r="O143" s="0" t="n">
        <f aca="false">-'Inputs 2026'!B143%*50%</f>
        <v>0.59</v>
      </c>
      <c r="P143" s="0" t="n">
        <f aca="false">C143*2+D143</f>
        <v>1116.87582998426</v>
      </c>
      <c r="Q143" s="0" t="e">
        <f aca="false">SUM($C$2:C143)</f>
        <v>#DIV/0!</v>
      </c>
      <c r="R143" s="0" t="n">
        <f aca="false">$D$2+P143</f>
        <v>1118.55082998426</v>
      </c>
      <c r="S143" s="0" t="n">
        <f aca="false">COUNT(B143:Q143)</f>
        <v>15</v>
      </c>
      <c r="T143" s="0" t="n">
        <f aca="false">IF('Inputs 2026'!E143&gt;5,1,0)</f>
        <v>0</v>
      </c>
      <c r="U143" s="0" t="n">
        <f aca="false">IF('Inputs 2026'!E143='Inputs 2026'!D143,1,0)</f>
        <v>0</v>
      </c>
      <c r="V143" s="0" t="n">
        <f aca="false">IF('Inputs 2026'!E143,1,2)</f>
        <v>2</v>
      </c>
      <c r="W143" s="0" t="n">
        <f aca="false">IF('Inputs 2026'!B143&gt;0,IF('Inputs 2026'!C143&gt;0,1,2),3)</f>
        <v>3</v>
      </c>
      <c r="X143" s="0" t="n">
        <f aca="false">SUM('Inputs 2026'!E143,'Inputs 2026'!B143,5)</f>
        <v>-113</v>
      </c>
      <c r="Y143" s="0" t="n">
        <f aca="false">MAX('Inputs 2026'!B143:C143,10)-MIN('Inputs 2026'!D143,'Inputs 2026'!E143)</f>
        <v>-1224.5678</v>
      </c>
    </row>
    <row r="144" customFormat="false" ht="12.8" hidden="false" customHeight="false" outlineLevel="0" collapsed="false">
      <c r="A144" s="0" t="s">
        <v>149</v>
      </c>
      <c r="B144" s="0" t="n">
        <f aca="false">'Inputs 2026'!B144+'Inputs 2026'!C144*'Inputs 2026'!D144</f>
        <v>2.5</v>
      </c>
      <c r="C144" s="0" t="n">
        <f aca="false">('Inputs 2026'!B144-'Inputs 2026'!C144)/'Inputs 2026'!D144</f>
        <v>-40</v>
      </c>
      <c r="D144" s="0" t="n">
        <f aca="false">SUM('Inputs 2026'!B144:D144)</f>
        <v>10.25</v>
      </c>
      <c r="E144" s="0" t="n">
        <f aca="false">AVERAGE('Inputs 2026'!B144:E144)</f>
        <v>6.75</v>
      </c>
      <c r="F144" s="0" t="n">
        <f aca="false">MIN('Inputs 2026'!B144:E144)</f>
        <v>0.25</v>
      </c>
      <c r="G144" s="0" t="n">
        <f aca="false">MAX('Inputs 2026'!B144:E144)</f>
        <v>10</v>
      </c>
      <c r="H144" s="0" t="n">
        <f aca="false">COUNT('Inputs 2026'!B144:E144)</f>
        <v>3</v>
      </c>
      <c r="I144" s="0" t="n">
        <f aca="false">ROUND('Inputs 2026'!B144/7,2)</f>
        <v>0</v>
      </c>
      <c r="J144" s="0" t="n">
        <f aca="false">ROUND('Inputs 2026'!C144*1.005,2)</f>
        <v>10.05</v>
      </c>
      <c r="K144" s="0" t="n">
        <f aca="false">ROUND('Inputs 2026'!D144*1234.5678,-2)</f>
        <v>300</v>
      </c>
      <c r="L144" s="0" t="n">
        <f aca="false">IF('Inputs 2026'!B144&gt;'Inputs 2026'!C144,'Inputs 2026'!B144,'Inputs 2026'!C144*2)</f>
        <v>20</v>
      </c>
      <c r="M144" s="0" t="n">
        <f aca="false">IF('Inputs 2026'!B144='Inputs 2026'!C144,1,0)</f>
        <v>0</v>
      </c>
      <c r="N144" s="0" t="n">
        <f aca="false">IF('Inputs 2026'!D144&lt;&gt;0,'Inputs 2026'!B144/'Inputs 2026'!D144,0)</f>
        <v>0</v>
      </c>
      <c r="O144" s="0" t="n">
        <f aca="false">-'Inputs 2026'!B144%*50%</f>
        <v>-0</v>
      </c>
      <c r="P144" s="0" t="n">
        <f aca="false">C144*2+D144</f>
        <v>-69.75</v>
      </c>
      <c r="Q144" s="0" t="e">
        <f aca="false">SUM($C$2:C144)</f>
        <v>#DIV/0!</v>
      </c>
      <c r="R144" s="0" t="n">
        <f aca="false">$D$2+P144</f>
        <v>-68.075</v>
      </c>
      <c r="S144" s="0" t="n">
        <f aca="false">COUNT(B144:Q144)</f>
        <v>15</v>
      </c>
      <c r="T144" s="0" t="n">
        <f aca="false">IF('Inputs 2026'!E144&gt;5,1,0)</f>
        <v>1</v>
      </c>
      <c r="U144" s="0" t="n">
        <f aca="false">IF('Inputs 2026'!E144='Inputs 2026'!D144,1,0)</f>
        <v>0</v>
      </c>
      <c r="V144" s="0" t="n">
        <f aca="false">IF('Inputs 2026'!E144,1,2)</f>
        <v>1</v>
      </c>
      <c r="W144" s="0" t="n">
        <f aca="false">IF('Inputs 2026'!B144&gt;0,IF('Inputs 2026'!C144&gt;0,1,2),3)</f>
        <v>3</v>
      </c>
      <c r="X144" s="0" t="n">
        <f aca="false">SUM('Inputs 2026'!E144,'Inputs 2026'!B144,5)</f>
        <v>15</v>
      </c>
      <c r="Y144" s="0" t="n">
        <f aca="false">MAX('Inputs 2026'!B144:C144,10)-MIN('Inputs 2026'!D144,'Inputs 2026'!E144)</f>
        <v>9.75</v>
      </c>
    </row>
    <row r="145" customFormat="false" ht="12.8" hidden="false" customHeight="false" outlineLevel="0" collapsed="false">
      <c r="A145" s="0" t="s">
        <v>150</v>
      </c>
      <c r="B145" s="0" t="n">
        <f aca="false">'Inputs 2026'!B145+'Inputs 2026'!C145*'Inputs 2026'!D145</f>
        <v>6.035</v>
      </c>
      <c r="C145" s="0" t="n">
        <f aca="false">('Inputs 2026'!B145-'Inputs 2026'!C145)/'Inputs 2026'!D145</f>
        <v>-7.96019900497513</v>
      </c>
      <c r="D145" s="0" t="n">
        <f aca="false">SUM('Inputs 2026'!B145:D145)</f>
        <v>7.005</v>
      </c>
      <c r="E145" s="0" t="n">
        <f aca="false">AVERAGE('Inputs 2026'!B145:E145)</f>
        <v>2.335</v>
      </c>
      <c r="F145" s="0" t="n">
        <f aca="false">MIN('Inputs 2026'!B145:E145)</f>
        <v>-1</v>
      </c>
      <c r="G145" s="0" t="n">
        <f aca="false">MAX('Inputs 2026'!B145:E145)</f>
        <v>7</v>
      </c>
      <c r="H145" s="0" t="n">
        <f aca="false">COUNT('Inputs 2026'!B145:E145)</f>
        <v>3</v>
      </c>
      <c r="I145" s="0" t="n">
        <f aca="false">ROUND('Inputs 2026'!B145/7,2)</f>
        <v>-0.14</v>
      </c>
      <c r="J145" s="0" t="n">
        <f aca="false">ROUND('Inputs 2026'!C145*1.005,2)</f>
        <v>7.04</v>
      </c>
      <c r="K145" s="0" t="n">
        <f aca="false">ROUND('Inputs 2026'!D145*1234.5678,-2)</f>
        <v>1200</v>
      </c>
      <c r="L145" s="0" t="n">
        <f aca="false">IF('Inputs 2026'!B145&gt;'Inputs 2026'!C145,'Inputs 2026'!B145,'Inputs 2026'!C145*2)</f>
        <v>14</v>
      </c>
      <c r="M145" s="0" t="n">
        <f aca="false">IF('Inputs 2026'!B145='Inputs 2026'!C145,1,0)</f>
        <v>0</v>
      </c>
      <c r="N145" s="0" t="n">
        <f aca="false">IF('Inputs 2026'!D145&lt;&gt;0,'Inputs 2026'!B145/'Inputs 2026'!D145,0)</f>
        <v>-0.995024875621891</v>
      </c>
      <c r="O145" s="0" t="n">
        <f aca="false">-'Inputs 2026'!B145%*50%</f>
        <v>0.005</v>
      </c>
      <c r="P145" s="0" t="n">
        <f aca="false">C145*2+D145</f>
        <v>-8.91539800995025</v>
      </c>
      <c r="Q145" s="0" t="e">
        <f aca="false">SUM($C$2:C145)</f>
        <v>#DIV/0!</v>
      </c>
      <c r="R145" s="0" t="n">
        <f aca="false">$D$2+P145</f>
        <v>-7.24039800995025</v>
      </c>
      <c r="S145" s="0" t="n">
        <f aca="false">COUNT(B145:Q145)</f>
        <v>15</v>
      </c>
      <c r="T145" s="0" t="n">
        <f aca="false">IF('Inputs 2026'!E145&gt;5,1,0)</f>
        <v>0</v>
      </c>
      <c r="U145" s="0" t="n">
        <f aca="false">IF('Inputs 2026'!E145='Inputs 2026'!D145,1,0)</f>
        <v>0</v>
      </c>
      <c r="V145" s="0" t="n">
        <f aca="false">IF('Inputs 2026'!E145,1,2)</f>
        <v>2</v>
      </c>
      <c r="W145" s="0" t="n">
        <f aca="false">IF('Inputs 2026'!B145&gt;0,IF('Inputs 2026'!C145&gt;0,1,2),3)</f>
        <v>3</v>
      </c>
      <c r="X145" s="0" t="n">
        <f aca="false">SUM('Inputs 2026'!E145,'Inputs 2026'!B145,5)</f>
        <v>4</v>
      </c>
      <c r="Y145" s="0" t="n">
        <f aca="false">MAX('Inputs 2026'!B145:C145,10)-MIN('Inputs 2026'!D145,'Inputs 2026'!E145)</f>
        <v>8.995</v>
      </c>
    </row>
    <row r="146" customFormat="false" ht="12.8" hidden="false" customHeight="false" outlineLevel="0" collapsed="false">
      <c r="A146" s="0" t="s">
        <v>151</v>
      </c>
      <c r="B146" s="0" t="n">
        <f aca="false">'Inputs 2026'!B146+'Inputs 2026'!C146*'Inputs 2026'!D146</f>
        <v>-2288</v>
      </c>
      <c r="C146" s="0" t="n">
        <f aca="false">('Inputs 2026'!B146-'Inputs 2026'!C146)/'Inputs 2026'!D146</f>
        <v>19.4597298649325</v>
      </c>
      <c r="D146" s="0" t="n">
        <f aca="false">SUM('Inputs 2026'!B146:D146)</f>
        <v>-208.99</v>
      </c>
      <c r="E146" s="0" t="n">
        <f aca="false">AVERAGE('Inputs 2026'!B146:E146)</f>
        <v>-69.6633333333333</v>
      </c>
      <c r="F146" s="0" t="n">
        <f aca="false">MIN('Inputs 2026'!B146:E146)</f>
        <v>-289</v>
      </c>
      <c r="G146" s="0" t="n">
        <f aca="false">MAX('Inputs 2026'!B146:E146)</f>
        <v>100</v>
      </c>
      <c r="H146" s="0" t="n">
        <f aca="false">COUNT('Inputs 2026'!B146:E146)</f>
        <v>3</v>
      </c>
      <c r="I146" s="0" t="n">
        <f aca="false">ROUND('Inputs 2026'!B146/7,2)</f>
        <v>-41.29</v>
      </c>
      <c r="J146" s="0" t="n">
        <f aca="false">ROUND('Inputs 2026'!C146*1.005,2)</f>
        <v>100.5</v>
      </c>
      <c r="K146" s="0" t="n">
        <f aca="false">ROUND('Inputs 2026'!D146*1234.5678,-2)</f>
        <v>-24700</v>
      </c>
      <c r="L146" s="0" t="n">
        <f aca="false">IF('Inputs 2026'!B146&gt;'Inputs 2026'!C146,'Inputs 2026'!B146,'Inputs 2026'!C146*2)</f>
        <v>200</v>
      </c>
      <c r="M146" s="0" t="n">
        <f aca="false">IF('Inputs 2026'!B146='Inputs 2026'!C146,1,0)</f>
        <v>0</v>
      </c>
      <c r="N146" s="0" t="n">
        <f aca="false">IF('Inputs 2026'!D146&lt;&gt;0,'Inputs 2026'!B146/'Inputs 2026'!D146,0)</f>
        <v>14.4572286143072</v>
      </c>
      <c r="O146" s="0" t="n">
        <f aca="false">-'Inputs 2026'!B146%*50%</f>
        <v>1.445</v>
      </c>
      <c r="P146" s="0" t="n">
        <f aca="false">C146*2+D146</f>
        <v>-170.070540270135</v>
      </c>
      <c r="Q146" s="0" t="e">
        <f aca="false">SUM($C$2:C146)</f>
        <v>#DIV/0!</v>
      </c>
      <c r="R146" s="0" t="n">
        <f aca="false">$D$2+P146</f>
        <v>-168.395540270135</v>
      </c>
      <c r="S146" s="0" t="n">
        <f aca="false">COUNT(B146:Q146)</f>
        <v>15</v>
      </c>
      <c r="T146" s="0" t="n">
        <f aca="false">IF('Inputs 2026'!E146&gt;5,1,0)</f>
        <v>0</v>
      </c>
      <c r="U146" s="0" t="n">
        <f aca="false">IF('Inputs 2026'!E146='Inputs 2026'!D146,1,0)</f>
        <v>0</v>
      </c>
      <c r="V146" s="0" t="n">
        <f aca="false">IF('Inputs 2026'!E146,1,2)</f>
        <v>2</v>
      </c>
      <c r="W146" s="0" t="n">
        <f aca="false">IF('Inputs 2026'!B146&gt;0,IF('Inputs 2026'!C146&gt;0,1,2),3)</f>
        <v>3</v>
      </c>
      <c r="X146" s="0" t="n">
        <f aca="false">SUM('Inputs 2026'!E146,'Inputs 2026'!B146,5)</f>
        <v>-284</v>
      </c>
      <c r="Y146" s="0" t="n">
        <f aca="false">MAX('Inputs 2026'!B146:C146,10)-MIN('Inputs 2026'!D146,'Inputs 2026'!E146)</f>
        <v>119.99</v>
      </c>
    </row>
    <row r="147" customFormat="false" ht="12.8" hidden="false" customHeight="false" outlineLevel="0" collapsed="false">
      <c r="A147" s="0" t="s">
        <v>152</v>
      </c>
      <c r="B147" s="0" t="n">
        <f aca="false">'Inputs 2026'!B147+'Inputs 2026'!C147*'Inputs 2026'!D147</f>
        <v>725.27</v>
      </c>
      <c r="C147" s="0" t="n">
        <f aca="false">('Inputs 2026'!B147-'Inputs 2026'!C147)/'Inputs 2026'!D147</f>
        <v>2896.08</v>
      </c>
      <c r="D147" s="0" t="n">
        <f aca="false">SUM('Inputs 2026'!B147:D147)</f>
        <v>726.27</v>
      </c>
      <c r="E147" s="0" t="n">
        <f aca="false">AVERAGE('Inputs 2026'!B147:E147)</f>
        <v>242.09</v>
      </c>
      <c r="F147" s="0" t="n">
        <f aca="false">MIN('Inputs 2026'!B147:E147)</f>
        <v>0.25</v>
      </c>
      <c r="G147" s="0" t="n">
        <f aca="false">MAX('Inputs 2026'!B147:E147)</f>
        <v>725.02</v>
      </c>
      <c r="H147" s="0" t="n">
        <f aca="false">COUNT('Inputs 2026'!B147:E147)</f>
        <v>3</v>
      </c>
      <c r="I147" s="0" t="n">
        <f aca="false">ROUND('Inputs 2026'!B147/7,2)</f>
        <v>103.57</v>
      </c>
      <c r="J147" s="0" t="n">
        <f aca="false">ROUND('Inputs 2026'!C147*1.005,2)</f>
        <v>1.01</v>
      </c>
      <c r="K147" s="0" t="n">
        <f aca="false">ROUND('Inputs 2026'!D147*1234.5678,-2)</f>
        <v>300</v>
      </c>
      <c r="L147" s="0" t="n">
        <f aca="false">IF('Inputs 2026'!B147&gt;'Inputs 2026'!C147,'Inputs 2026'!B147,'Inputs 2026'!C147*2)</f>
        <v>725.02</v>
      </c>
      <c r="M147" s="0" t="n">
        <f aca="false">IF('Inputs 2026'!B147='Inputs 2026'!C147,1,0)</f>
        <v>0</v>
      </c>
      <c r="N147" s="0" t="n">
        <f aca="false">IF('Inputs 2026'!D147&lt;&gt;0,'Inputs 2026'!B147/'Inputs 2026'!D147,0)</f>
        <v>2900.08</v>
      </c>
      <c r="O147" s="0" t="n">
        <f aca="false">-'Inputs 2026'!B147%*50%</f>
        <v>-3.6251</v>
      </c>
      <c r="P147" s="0" t="n">
        <f aca="false">C147*2+D147</f>
        <v>6518.43</v>
      </c>
      <c r="Q147" s="0" t="e">
        <f aca="false">SUM($C$2:C147)</f>
        <v>#DIV/0!</v>
      </c>
      <c r="R147" s="0" t="n">
        <f aca="false">$D$2+P147</f>
        <v>6520.105</v>
      </c>
      <c r="S147" s="0" t="n">
        <f aca="false">COUNT(B147:Q147)</f>
        <v>15</v>
      </c>
      <c r="T147" s="0" t="n">
        <f aca="false">IF('Inputs 2026'!E147&gt;5,1,0)</f>
        <v>0</v>
      </c>
      <c r="U147" s="0" t="n">
        <f aca="false">IF('Inputs 2026'!E147='Inputs 2026'!D147,1,0)</f>
        <v>0</v>
      </c>
      <c r="V147" s="0" t="n">
        <f aca="false">IF('Inputs 2026'!E147,1,2)</f>
        <v>2</v>
      </c>
      <c r="W147" s="0" t="n">
        <f aca="false">IF('Inputs 2026'!B147&gt;0,IF('Inputs 2026'!C147&gt;0,1,2),3)</f>
        <v>1</v>
      </c>
      <c r="X147" s="0" t="n">
        <f aca="false">SUM('Inputs 2026'!E147,'Inputs 2026'!B147,5)</f>
        <v>730.02</v>
      </c>
      <c r="Y147" s="0" t="n">
        <f aca="false">MAX('Inputs 2026'!B147:C147,10)-MIN('Inputs 2026'!D147,'Inputs 2026'!E147)</f>
        <v>724.77</v>
      </c>
    </row>
    <row r="148" customFormat="false" ht="12.8" hidden="false" customHeight="false" outlineLevel="0" collapsed="false">
      <c r="A148" s="0" t="s">
        <v>153</v>
      </c>
      <c r="B148" s="0" t="n">
        <f aca="false">'Inputs 2026'!B148+'Inputs 2026'!C148*'Inputs 2026'!D148</f>
        <v>-42</v>
      </c>
      <c r="C148" s="0" t="e">
        <f aca="false">('Inputs 2026'!B148-'Inputs 2026'!C148)/'Inputs 2026'!D148</f>
        <v>#DIV/0!</v>
      </c>
      <c r="D148" s="0" t="n">
        <f aca="false">SUM('Inputs 2026'!B148:D148)</f>
        <v>-32</v>
      </c>
      <c r="E148" s="0" t="n">
        <f aca="false">AVERAGE('Inputs 2026'!B148:E148)</f>
        <v>-10.6666666666667</v>
      </c>
      <c r="F148" s="0" t="n">
        <f aca="false">MIN('Inputs 2026'!B148:E148)</f>
        <v>-42</v>
      </c>
      <c r="G148" s="0" t="n">
        <f aca="false">MAX('Inputs 2026'!B148:E148)</f>
        <v>10</v>
      </c>
      <c r="H148" s="0" t="n">
        <f aca="false">COUNT('Inputs 2026'!B148:E148)</f>
        <v>3</v>
      </c>
      <c r="I148" s="0" t="n">
        <f aca="false">ROUND('Inputs 2026'!B148/7,2)</f>
        <v>-6</v>
      </c>
      <c r="J148" s="0" t="n">
        <f aca="false">ROUND('Inputs 2026'!C148*1.005,2)</f>
        <v>10.05</v>
      </c>
      <c r="K148" s="0" t="n">
        <f aca="false">ROUND('Inputs 2026'!D148*1234.5678,-2)</f>
        <v>0</v>
      </c>
      <c r="L148" s="0" t="n">
        <f aca="false">IF('Inputs 2026'!B148&gt;'Inputs 2026'!C148,'Inputs 2026'!B148,'Inputs 2026'!C148*2)</f>
        <v>20</v>
      </c>
      <c r="M148" s="0" t="n">
        <f aca="false">IF('Inputs 2026'!B148='Inputs 2026'!C148,1,0)</f>
        <v>0</v>
      </c>
      <c r="N148" s="0" t="n">
        <f aca="false">IF('Inputs 2026'!D148&lt;&gt;0,'Inputs 2026'!B148/'Inputs 2026'!D148,0)</f>
        <v>0</v>
      </c>
      <c r="O148" s="0" t="n">
        <f aca="false">-'Inputs 2026'!B148%*50%</f>
        <v>0.21</v>
      </c>
      <c r="P148" s="0" t="e">
        <f aca="false">C148*2+D148</f>
        <v>#DIV/0!</v>
      </c>
      <c r="Q148" s="0" t="e">
        <f aca="false">SUM($C$2:C148)</f>
        <v>#DIV/0!</v>
      </c>
      <c r="R148" s="0" t="e">
        <f aca="false">$D$2+P148</f>
        <v>#DIV/0!</v>
      </c>
      <c r="S148" s="0" t="n">
        <f aca="false">COUNT(B148:Q148)</f>
        <v>13</v>
      </c>
      <c r="T148" s="0" t="n">
        <f aca="false">IF('Inputs 2026'!E148&gt;5,1,0)</f>
        <v>0</v>
      </c>
      <c r="U148" s="0" t="n">
        <f aca="false">IF('Inputs 2026'!E148='Inputs 2026'!D148,1,0)</f>
        <v>1</v>
      </c>
      <c r="V148" s="0" t="n">
        <f aca="false">IF('Inputs 2026'!E148,1,2)</f>
        <v>2</v>
      </c>
      <c r="W148" s="0" t="n">
        <f aca="false">IF('Inputs 2026'!B148&gt;0,IF('Inputs 2026'!C148&gt;0,1,2),3)</f>
        <v>3</v>
      </c>
      <c r="X148" s="0" t="n">
        <f aca="false">SUM('Inputs 2026'!E148,'Inputs 2026'!B148,5)</f>
        <v>-37</v>
      </c>
      <c r="Y148" s="0" t="n">
        <f aca="false">MAX('Inputs 2026'!B148:C148,10)-MIN('Inputs 2026'!D148,'Inputs 2026'!E148)</f>
        <v>10</v>
      </c>
    </row>
    <row r="149" customFormat="false" ht="12.8" hidden="false" customHeight="false" outlineLevel="0" collapsed="false">
      <c r="A149" s="0" t="s">
        <v>154</v>
      </c>
      <c r="B149" s="0" t="n">
        <f aca="false">'Inputs 2026'!B149+'Inputs 2026'!C149*'Inputs 2026'!D149</f>
        <v>-0.5</v>
      </c>
      <c r="C149" s="0" t="n">
        <f aca="false">('Inputs 2026'!B149-'Inputs 2026'!C149)/'Inputs 2026'!D149</f>
        <v>-0.642857142857143</v>
      </c>
      <c r="D149" s="0" t="n">
        <f aca="false">SUM('Inputs 2026'!B149:D149)</f>
        <v>3.5</v>
      </c>
      <c r="E149" s="0" t="n">
        <f aca="false">AVERAGE('Inputs 2026'!B149:E149)</f>
        <v>-4.1225</v>
      </c>
      <c r="F149" s="0" t="n">
        <f aca="false">MIN('Inputs 2026'!B149:E149)</f>
        <v>-19.99</v>
      </c>
      <c r="G149" s="0" t="n">
        <f aca="false">MAX('Inputs 2026'!B149:E149)</f>
        <v>7</v>
      </c>
      <c r="H149" s="0" t="n">
        <f aca="false">COUNT('Inputs 2026'!B149:E149)</f>
        <v>4</v>
      </c>
      <c r="I149" s="0" t="n">
        <f aca="false">ROUND('Inputs 2026'!B149/7,2)</f>
        <v>-0.57</v>
      </c>
      <c r="J149" s="0" t="n">
        <f aca="false">ROUND('Inputs 2026'!C149*1.005,2)</f>
        <v>0.5</v>
      </c>
      <c r="K149" s="0" t="n">
        <f aca="false">ROUND('Inputs 2026'!D149*1234.5678,-2)</f>
        <v>8600</v>
      </c>
      <c r="L149" s="0" t="n">
        <f aca="false">IF('Inputs 2026'!B149&gt;'Inputs 2026'!C149,'Inputs 2026'!B149,'Inputs 2026'!C149*2)</f>
        <v>1</v>
      </c>
      <c r="M149" s="0" t="n">
        <f aca="false">IF('Inputs 2026'!B149='Inputs 2026'!C149,1,0)</f>
        <v>0</v>
      </c>
      <c r="N149" s="0" t="n">
        <f aca="false">IF('Inputs 2026'!D149&lt;&gt;0,'Inputs 2026'!B149/'Inputs 2026'!D149,0)</f>
        <v>-0.571428571428571</v>
      </c>
      <c r="O149" s="0" t="n">
        <f aca="false">-'Inputs 2026'!B149%*50%</f>
        <v>0.02</v>
      </c>
      <c r="P149" s="0" t="n">
        <f aca="false">C149*2+D149</f>
        <v>2.21428571428571</v>
      </c>
      <c r="Q149" s="0" t="e">
        <f aca="false">SUM($C$2:C149)</f>
        <v>#DIV/0!</v>
      </c>
      <c r="R149" s="0" t="n">
        <f aca="false">$D$2+P149</f>
        <v>3.88928571428571</v>
      </c>
      <c r="S149" s="0" t="n">
        <f aca="false">COUNT(B149:Q149)</f>
        <v>15</v>
      </c>
      <c r="T149" s="0" t="n">
        <f aca="false">IF('Inputs 2026'!E149&gt;5,1,0)</f>
        <v>0</v>
      </c>
      <c r="U149" s="0" t="n">
        <f aca="false">IF('Inputs 2026'!E149='Inputs 2026'!D149,1,0)</f>
        <v>0</v>
      </c>
      <c r="V149" s="0" t="n">
        <f aca="false">IF('Inputs 2026'!E149,1,2)</f>
        <v>1</v>
      </c>
      <c r="W149" s="0" t="n">
        <f aca="false">IF('Inputs 2026'!B149&gt;0,IF('Inputs 2026'!C149&gt;0,1,2),3)</f>
        <v>3</v>
      </c>
      <c r="X149" s="0" t="n">
        <f aca="false">SUM('Inputs 2026'!E149,'Inputs 2026'!B149,5)</f>
        <v>-18.99</v>
      </c>
      <c r="Y149" s="0" t="n">
        <f aca="false">MAX('Inputs 2026'!B149:C149,10)-MIN('Inputs 2026'!D149,'Inputs 2026'!E149)</f>
        <v>29.99</v>
      </c>
    </row>
    <row r="150" customFormat="false" ht="12.8" hidden="false" customHeight="false" outlineLevel="0" collapsed="false">
      <c r="A150" s="0" t="s">
        <v>155</v>
      </c>
      <c r="B150" s="0" t="n">
        <f aca="false">'Inputs 2026'!B150+'Inputs 2026'!C150*'Inputs 2026'!D150</f>
        <v>79.015</v>
      </c>
      <c r="C150" s="0" t="n">
        <f aca="false">('Inputs 2026'!B150-'Inputs 2026'!C150)/'Inputs 2026'!D150</f>
        <v>0.00958133722141221</v>
      </c>
      <c r="D150" s="0" t="n">
        <f aca="false">SUM('Inputs 2026'!B150:D150)</f>
        <v>727.25</v>
      </c>
      <c r="E150" s="0" t="n">
        <f aca="false">AVERAGE('Inputs 2026'!B150:E150)</f>
        <v>242.416666666667</v>
      </c>
      <c r="F150" s="0" t="n">
        <f aca="false">MIN('Inputs 2026'!B150:E150)</f>
        <v>0.1</v>
      </c>
      <c r="G150" s="0" t="n">
        <f aca="false">MAX('Inputs 2026'!B150:E150)</f>
        <v>720.15</v>
      </c>
      <c r="H150" s="0" t="n">
        <f aca="false">COUNT('Inputs 2026'!B150:E150)</f>
        <v>3</v>
      </c>
      <c r="I150" s="0" t="n">
        <f aca="false">ROUND('Inputs 2026'!B150/7,2)</f>
        <v>1</v>
      </c>
      <c r="J150" s="0" t="n">
        <f aca="false">ROUND('Inputs 2026'!C150*1.005,2)</f>
        <v>0.1</v>
      </c>
      <c r="K150" s="0" t="n">
        <f aca="false">ROUND('Inputs 2026'!D150*1234.5678,-2)</f>
        <v>889100</v>
      </c>
      <c r="L150" s="0" t="n">
        <f aca="false">IF('Inputs 2026'!B150&gt;'Inputs 2026'!C150,'Inputs 2026'!B150,'Inputs 2026'!C150*2)</f>
        <v>7</v>
      </c>
      <c r="M150" s="0" t="n">
        <f aca="false">IF('Inputs 2026'!B150='Inputs 2026'!C150,1,0)</f>
        <v>0</v>
      </c>
      <c r="N150" s="0" t="n">
        <f aca="false">IF('Inputs 2026'!D150&lt;&gt;0,'Inputs 2026'!B150/'Inputs 2026'!D150,0)</f>
        <v>0.00972019718114282</v>
      </c>
      <c r="O150" s="0" t="n">
        <f aca="false">-'Inputs 2026'!B150%*50%</f>
        <v>-0.035</v>
      </c>
      <c r="P150" s="0" t="n">
        <f aca="false">C150*2+D150</f>
        <v>727.269162674443</v>
      </c>
      <c r="Q150" s="0" t="e">
        <f aca="false">SUM($C$2:C150)</f>
        <v>#DIV/0!</v>
      </c>
      <c r="R150" s="0" t="n">
        <f aca="false">$D$2+P150</f>
        <v>728.944162674443</v>
      </c>
      <c r="S150" s="0" t="n">
        <f aca="false">COUNT(B150:Q150)</f>
        <v>15</v>
      </c>
      <c r="T150" s="0" t="n">
        <f aca="false">IF('Inputs 2026'!E150&gt;5,1,0)</f>
        <v>1</v>
      </c>
      <c r="U150" s="0" t="n">
        <f aca="false">IF('Inputs 2026'!E150='Inputs 2026'!D150,1,0)</f>
        <v>0</v>
      </c>
      <c r="V150" s="0" t="e">
        <f aca="false">IF('Inputs 2026'!E150,1,2)</f>
        <v>#VALUE!</v>
      </c>
      <c r="W150" s="0" t="n">
        <f aca="false">IF('Inputs 2026'!B150&gt;0,IF('Inputs 2026'!C150&gt;0,1,2),3)</f>
        <v>1</v>
      </c>
      <c r="X150" s="0" t="n">
        <f aca="false">SUM('Inputs 2026'!E150,'Inputs 2026'!B150,5)</f>
        <v>12</v>
      </c>
      <c r="Y150" s="0" t="n">
        <f aca="false">MAX('Inputs 2026'!B150:C150,10)-MIN('Inputs 2026'!D150,'Inputs 2026'!E150)</f>
        <v>-710.15</v>
      </c>
    </row>
    <row r="151" customFormat="false" ht="12.8" hidden="false" customHeight="false" outlineLevel="0" collapsed="false">
      <c r="A151" s="0" t="s">
        <v>156</v>
      </c>
      <c r="B151" s="0" t="n">
        <f aca="false">'Inputs 2026'!B151+'Inputs 2026'!C151*'Inputs 2026'!D151</f>
        <v>-1164.93</v>
      </c>
      <c r="C151" s="0" t="n">
        <f aca="false">('Inputs 2026'!B151-'Inputs 2026'!C151)/'Inputs 2026'!D151</f>
        <v>216.2325</v>
      </c>
      <c r="D151" s="0" t="n">
        <f aca="false">SUM('Inputs 2026'!B151:D151)</f>
        <v>-668.93</v>
      </c>
      <c r="E151" s="0" t="n">
        <f aca="false">AVERAGE('Inputs 2026'!B151:E151)</f>
        <v>-222.976666666667</v>
      </c>
      <c r="F151" s="0" t="n">
        <f aca="false">MIN('Inputs 2026'!B151:E151)</f>
        <v>-764.93</v>
      </c>
      <c r="G151" s="0" t="n">
        <f aca="false">MAX('Inputs 2026'!B151:E151)</f>
        <v>100</v>
      </c>
      <c r="H151" s="0" t="n">
        <f aca="false">COUNT('Inputs 2026'!B151:E151)</f>
        <v>3</v>
      </c>
      <c r="I151" s="0" t="n">
        <f aca="false">ROUND('Inputs 2026'!B151/7,2)</f>
        <v>-109.28</v>
      </c>
      <c r="J151" s="0" t="n">
        <f aca="false">ROUND('Inputs 2026'!C151*1.005,2)</f>
        <v>100.5</v>
      </c>
      <c r="K151" s="0" t="n">
        <f aca="false">ROUND('Inputs 2026'!D151*1234.5678,-2)</f>
        <v>-4900</v>
      </c>
      <c r="L151" s="0" t="n">
        <f aca="false">IF('Inputs 2026'!B151&gt;'Inputs 2026'!C151,'Inputs 2026'!B151,'Inputs 2026'!C151*2)</f>
        <v>200</v>
      </c>
      <c r="M151" s="0" t="n">
        <f aca="false">IF('Inputs 2026'!B151='Inputs 2026'!C151,1,0)</f>
        <v>0</v>
      </c>
      <c r="N151" s="0" t="n">
        <f aca="false">IF('Inputs 2026'!D151&lt;&gt;0,'Inputs 2026'!B151/'Inputs 2026'!D151,0)</f>
        <v>191.2325</v>
      </c>
      <c r="O151" s="0" t="n">
        <f aca="false">-'Inputs 2026'!B151%*50%</f>
        <v>3.82465</v>
      </c>
      <c r="P151" s="0" t="n">
        <f aca="false">C151*2+D151</f>
        <v>-236.465</v>
      </c>
      <c r="Q151" s="0" t="e">
        <f aca="false">SUM($C$2:C151)</f>
        <v>#DIV/0!</v>
      </c>
      <c r="R151" s="0" t="n">
        <f aca="false">$D$2+P151</f>
        <v>-234.79</v>
      </c>
      <c r="S151" s="0" t="n">
        <f aca="false">COUNT(B151:Q151)</f>
        <v>15</v>
      </c>
      <c r="T151" s="0" t="n">
        <f aca="false">IF('Inputs 2026'!E151&gt;5,1,0)</f>
        <v>1</v>
      </c>
      <c r="U151" s="0" t="n">
        <f aca="false">IF('Inputs 2026'!E151='Inputs 2026'!D151,1,0)</f>
        <v>0</v>
      </c>
      <c r="V151" s="0" t="e">
        <f aca="false">IF('Inputs 2026'!E151,1,2)</f>
        <v>#VALUE!</v>
      </c>
      <c r="W151" s="0" t="n">
        <f aca="false">IF('Inputs 2026'!B151&gt;0,IF('Inputs 2026'!C151&gt;0,1,2),3)</f>
        <v>3</v>
      </c>
      <c r="X151" s="0" t="n">
        <f aca="false">SUM('Inputs 2026'!E151,'Inputs 2026'!B151,5)</f>
        <v>-759.93</v>
      </c>
      <c r="Y151" s="0" t="n">
        <f aca="false">MAX('Inputs 2026'!B151:C151,10)-MIN('Inputs 2026'!D151,'Inputs 2026'!E151)</f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LibreOffice/25.8.7.3$MacOSX_AARCH64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